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ohammedfaran/Desktop/Research project &amp; material/IX/PSDM/"/>
    </mc:Choice>
  </mc:AlternateContent>
  <xr:revisionPtr revIDLastSave="0" documentId="13_ncr:1_{B5BBCC6A-6E80-5D4B-9DA0-319A1EEFA15A}" xr6:coauthVersionLast="47" xr6:coauthVersionMax="47" xr10:uidLastSave="{00000000-0000-0000-0000-000000000000}"/>
  <bookViews>
    <workbookView visibility="hidden" xWindow="0" yWindow="0" windowWidth="28800" windowHeight="18000" activeTab="1" xr2:uid="{317BF3F6-A68C-4964-9BC3-AEDC7E3058F4}"/>
    <workbookView xWindow="9200" yWindow="1700" windowWidth="19600" windowHeight="16300" activeTab="3" xr2:uid="{98653675-A938-D14F-A750-90C4B098C7EB}"/>
  </bookViews>
  <sheets>
    <sheet name="Properties" sheetId="1" r:id="rId1"/>
    <sheet name="Kdata" sheetId="3" r:id="rId2"/>
    <sheet name="columnSpecs" sheetId="4" r:id="rId3"/>
    <sheet name="data" sheetId="5" r:id="rId4"/>
    <sheet name="kf_val" sheetId="7" r:id="rId5"/>
    <sheet name="Not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B9" i="4"/>
  <c r="B3" i="4"/>
  <c r="Y3" i="1"/>
  <c r="X3" i="1"/>
  <c r="W3" i="1"/>
  <c r="V3" i="1"/>
  <c r="U3" i="1"/>
  <c r="S3" i="1"/>
  <c r="R3" i="1"/>
  <c r="O3" i="1"/>
  <c r="N3" i="1"/>
  <c r="M3" i="1"/>
  <c r="L3" i="1"/>
  <c r="J3" i="1"/>
  <c r="G3" i="1"/>
  <c r="D3" i="1"/>
  <c r="C3" i="1"/>
  <c r="B3" i="1"/>
</calcChain>
</file>

<file path=xl/sharedStrings.xml><?xml version="1.0" encoding="utf-8"?>
<sst xmlns="http://schemas.openxmlformats.org/spreadsheetml/2006/main" count="1410" uniqueCount="112">
  <si>
    <t>MW</t>
  </si>
  <si>
    <t>MolarVol</t>
  </si>
  <si>
    <t>BP</t>
  </si>
  <si>
    <t>Density</t>
  </si>
  <si>
    <t>Solubility</t>
  </si>
  <si>
    <t>VaporPress</t>
  </si>
  <si>
    <t>K</t>
  </si>
  <si>
    <t>1/n</t>
  </si>
  <si>
    <t>q</t>
  </si>
  <si>
    <t>brk</t>
  </si>
  <si>
    <t>AveC</t>
  </si>
  <si>
    <t>name</t>
  </si>
  <si>
    <t>value</t>
  </si>
  <si>
    <t>units</t>
  </si>
  <si>
    <t>carbonID</t>
  </si>
  <si>
    <t>radius</t>
  </si>
  <si>
    <t>cm</t>
  </si>
  <si>
    <t>porosity</t>
  </si>
  <si>
    <t>psdfr</t>
  </si>
  <si>
    <t>particleDensity</t>
  </si>
  <si>
    <t>g/ml</t>
  </si>
  <si>
    <t>length</t>
  </si>
  <si>
    <t>weight</t>
  </si>
  <si>
    <t>flowrate</t>
  </si>
  <si>
    <t>diameter</t>
  </si>
  <si>
    <t>tortuosity</t>
  </si>
  <si>
    <t>influentID</t>
  </si>
  <si>
    <t>influent</t>
  </si>
  <si>
    <t>effluentID</t>
  </si>
  <si>
    <t>effluent</t>
  </si>
  <si>
    <t>apparentDensity</t>
  </si>
  <si>
    <t>time</t>
  </si>
  <si>
    <t>type</t>
  </si>
  <si>
    <t>concentration</t>
  </si>
  <si>
    <t>compound</t>
  </si>
  <si>
    <t>This file contains information for example run of Python-based PSDM Model</t>
  </si>
  <si>
    <t>Python script is provided the names of sheets that contain data, additional sheets can be included, and will not be used unless specified</t>
  </si>
  <si>
    <t>Python is case-sensitive, compound name and other input columns should be consistent throughout</t>
  </si>
  <si>
    <t>"Properties" and "Kdata" can be in individual files for real use, included in this single file for convenience. (Since these might be reused for multiple runs)</t>
  </si>
  <si>
    <t xml:space="preserve">Properties and Kdata can contain compounds that do not exist in data, but if it is in "data" there must be a corresponding Properties column/info. </t>
  </si>
  <si>
    <t>Kdata is only necessary if you are running with a known K &amp; 1/n value. If using optimizer features, then Kdata will be generated from that analysis.</t>
  </si>
  <si>
    <t>Python also pays attention to extra spaces, or characters. If data is accidently stored in columns outside the format in this file, then full row/column deletes must be used to remove those possible hidden characters. Also, blank spaces at the end of text will be read explicitly, and may cause errors in reading in parameters/values.</t>
  </si>
  <si>
    <t>PFBA</t>
  </si>
  <si>
    <t>PFPeA</t>
  </si>
  <si>
    <t>PFHxA</t>
  </si>
  <si>
    <t>PFHpA</t>
  </si>
  <si>
    <t>PFOA</t>
  </si>
  <si>
    <t>PFNA</t>
  </si>
  <si>
    <t>PFDA</t>
  </si>
  <si>
    <t>PFMOAA</t>
  </si>
  <si>
    <t>PMPA</t>
  </si>
  <si>
    <t>PFBS</t>
  </si>
  <si>
    <t>PFHxS</t>
  </si>
  <si>
    <t>PFOS</t>
  </si>
  <si>
    <t>4:2FTS</t>
  </si>
  <si>
    <t>6:2FTS</t>
  </si>
  <si>
    <t>8:2FTS</t>
  </si>
  <si>
    <t>GenX</t>
  </si>
  <si>
    <t>NafionBP2</t>
  </si>
  <si>
    <t>PFNS</t>
  </si>
  <si>
    <t>PFO2HxA</t>
  </si>
  <si>
    <t>PFO3OA</t>
  </si>
  <si>
    <t>PFO4DA</t>
  </si>
  <si>
    <t>PFMOPrA</t>
  </si>
  <si>
    <t>PFHpS</t>
  </si>
  <si>
    <t>PFPrS</t>
  </si>
  <si>
    <t>PFPeS</t>
  </si>
  <si>
    <t>PFA694e</t>
  </si>
  <si>
    <t>g</t>
  </si>
  <si>
    <t>cm3/min</t>
  </si>
  <si>
    <t>min</t>
  </si>
  <si>
    <t>Type</t>
  </si>
  <si>
    <t>DL (m2/L)</t>
  </si>
  <si>
    <t>DL (cm^2/s)</t>
  </si>
  <si>
    <t>Vb</t>
  </si>
  <si>
    <t>constants</t>
  </si>
  <si>
    <t>unit</t>
  </si>
  <si>
    <t>CHLORIDE</t>
  </si>
  <si>
    <t>dp</t>
  </si>
  <si>
    <t>SULFATE</t>
  </si>
  <si>
    <t>Re</t>
  </si>
  <si>
    <t>unitless</t>
  </si>
  <si>
    <t>BICARBONATE</t>
  </si>
  <si>
    <t>Sc</t>
  </si>
  <si>
    <t>NITRATE</t>
  </si>
  <si>
    <t>u</t>
  </si>
  <si>
    <t>cP</t>
  </si>
  <si>
    <t>vf</t>
  </si>
  <si>
    <t>porosity €</t>
  </si>
  <si>
    <t xml:space="preserve">non </t>
  </si>
  <si>
    <t>temp</t>
  </si>
  <si>
    <t>C deg</t>
  </si>
  <si>
    <t>n =</t>
  </si>
  <si>
    <t xml:space="preserve">shape factor = </t>
  </si>
  <si>
    <t>bed porosity</t>
  </si>
  <si>
    <t>density</t>
  </si>
  <si>
    <t>apparent density</t>
  </si>
  <si>
    <t>NFB1</t>
  </si>
  <si>
    <t>NFB2</t>
  </si>
  <si>
    <t>kf (cm/s)</t>
  </si>
  <si>
    <t>cm/s</t>
  </si>
  <si>
    <t>Compound  C₀ (ng/L)  K (µg/g)/(ng/L)      q (µg/g)  Breakthrough (days)  Final C/C₀  Mass Adsorbed (µg)  Dₐᵦ (cm²/s)   Dₚ (cm²/s)  Molar Volume (cm³/mol)</t>
  </si>
  <si>
    <t xml:space="preserve">  4:2FTS    300.000       126.387484  37916.245147             1.860752    1.276549         2934.717374 3.480221e-08 1.325964e-08                     195</t>
  </si>
  <si>
    <t xml:space="preserve">  6:2FTS    290.820       330.715997  96178.826152             3.578368    0.462423         7444.241144 3.006426e-08 1.145448e-08                     250</t>
  </si>
  <si>
    <t xml:space="preserve">    GenX    334.840       244.597954  81901.178863             3.292099    1.021008         6339.151244 3.544878e-08 1.350598e-08                     189</t>
  </si>
  <si>
    <t xml:space="preserve">    PFBA    407.480        44.865836  18281.930717             3.578368    0.996383         1415.021437 4.459545e-08 1.699087e-08                     128</t>
  </si>
  <si>
    <t xml:space="preserve">   PFHpA    327.625       335.957637 110068.120931             3.578368    0.384491         8519.272560 3.331579e-08 1.269331e-08                     210</t>
  </si>
  <si>
    <t xml:space="preserve">   PFHxA    349.000       235.655257  82243.684793             3.578368    0.995219         6365.661203 3.624559e-08 1.380957e-08                     182</t>
  </si>
  <si>
    <t xml:space="preserve">  PFMOAA    290.540        45.350354  13176.091995             0.715674    1.003592         1019.829520 4.983473e-08 1.898703e-08                     106</t>
  </si>
  <si>
    <t xml:space="preserve">   PFPeA    347.255       140.881473  48921.795965             1.860752    1.293426         3786.547008 3.984115e-08 1.517948e-08                     155</t>
  </si>
  <si>
    <t xml:space="preserve">    PMPA    211.265        86.108870  18191.790499             1.288213    1.142416         1408.044585 4.340827e-08 1.653855e-08                     134</t>
  </si>
  <si>
    <t>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</si>
</sst>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numFmt numFmtId="165" formatCode="0.000000"/>
  </numFmts>
  <fonts count="14" x14ac:knownFonts="1">
    <font>
      <sz val="11"/>
      <color theme="1"/>
      <name val="Calibri"/>
      <family val="2"/>
      <scheme val="minor"/>
    </font>
    <font>
      <b/>
      <sz val="11"/>
      <color theme="1"/>
      <name val="Calibri"/>
      <family val="2"/>
      <scheme val="minor"/>
    </font>
    <font>
      <sz val="11"/>
      <color rgb="FF000000"/>
      <name val="Calibri"/>
      <family val="2"/>
      <scheme val="minor"/>
    </font>
    <font>
      <sz val="16"/>
      <color theme="1"/>
      <name val="Calibri"/>
      <family val="2"/>
      <scheme val="minor"/>
    </font>
    <font>
      <sz val="24"/>
      <color theme="1"/>
      <name val="Calibri"/>
      <family val="2"/>
      <scheme val="minor"/>
    </font>
    <font>
      <b/>
      <sz val="24"/>
      <color rgb="FFFF0000"/>
      <name val="Calibri"/>
      <family val="2"/>
      <scheme val="minor"/>
    </font>
    <font>
      <sz val="11"/>
      <name val="Calibri"/>
      <family val="2"/>
      <scheme val="minor"/>
    </font>
    <font>
      <b/>
      <sz val="11"/>
      <name val="Calibri"/>
      <family val="2"/>
      <scheme val="minor"/>
    </font>
    <font>
      <sz val="9"/>
      <name val="Roboto"/>
    </font>
    <font>
      <sz val="12"/>
      <color rgb="FF000000"/>
      <name val="Aptos Narrow"/>
      <family val="2"/>
    </font>
    <font>
      <sz val="11"/>
      <color rgb="FF000000"/>
      <name val="Calibri"/>
      <family val="2"/>
    </font>
    <font>
      <sz val="11"/>
      <color rgb="FF000000"/>
      <name val="Aptos Narrow"/>
      <family val="2"/>
    </font>
    <font>
      <b/>
      <sz val="12"/>
      <color theme="1"/>
      <name val="Calibri"/>
      <family val="2"/>
      <scheme val="minor"/>
    </font>
    <font>
      <sz val="10"/>
      <color theme="1"/>
      <name val="Arial Unicode MS"/>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top style="thin">
        <color auto="1"/>
      </top>
      <bottom style="thin">
        <color auto="1"/>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applyAlignment="1">
      <alignment wrapText="1"/>
    </xf>
    <xf numFmtId="0" fontId="5" fillId="0" borderId="0" xfId="0" applyFont="1" applyAlignment="1">
      <alignment wrapText="1"/>
    </xf>
    <xf numFmtId="0" fontId="2" fillId="0" borderId="0" xfId="0" applyFont="1" applyAlignment="1">
      <alignment horizontal="center"/>
    </xf>
    <xf numFmtId="0" fontId="6" fillId="0" borderId="0" xfId="0" applyFont="1" applyAlignment="1">
      <alignment horizontal="center"/>
    </xf>
    <xf numFmtId="0" fontId="7" fillId="0" borderId="1" xfId="0" applyFont="1" applyBorder="1" applyAlignment="1">
      <alignment horizontal="center" vertical="top"/>
    </xf>
    <xf numFmtId="0" fontId="7" fillId="0" borderId="2" xfId="0" applyFont="1" applyBorder="1" applyAlignment="1">
      <alignment horizontal="center" vertical="top"/>
    </xf>
    <xf numFmtId="0" fontId="7" fillId="0" borderId="3" xfId="0" applyFont="1" applyBorder="1" applyAlignment="1">
      <alignment horizontal="center" vertical="top"/>
    </xf>
    <xf numFmtId="0" fontId="8" fillId="0" borderId="0" xfId="0" applyFont="1" applyAlignment="1">
      <alignment horizontal="center"/>
    </xf>
    <xf numFmtId="2" fontId="6" fillId="0" borderId="0" xfId="0" applyNumberFormat="1" applyFont="1" applyAlignment="1">
      <alignment horizontal="center"/>
    </xf>
    <xf numFmtId="11" fontId="6" fillId="0" borderId="0" xfId="0" applyNumberFormat="1" applyFont="1" applyAlignment="1">
      <alignment horizontal="center"/>
    </xf>
    <xf numFmtId="0" fontId="0" fillId="0" borderId="1" xfId="0" applyBorder="1"/>
    <xf numFmtId="0" fontId="9" fillId="0" borderId="1" xfId="0" applyFont="1" applyBorder="1"/>
    <xf numFmtId="2" fontId="2" fillId="0" borderId="1" xfId="0" applyNumberFormat="1" applyFont="1" applyBorder="1" applyAlignment="1">
      <alignment horizontal="center"/>
    </xf>
    <xf numFmtId="2" fontId="10" fillId="0" borderId="1" xfId="0" applyNumberFormat="1" applyFont="1" applyBorder="1"/>
    <xf numFmtId="0" fontId="10" fillId="0" borderId="1" xfId="0" applyFont="1" applyBorder="1"/>
    <xf numFmtId="11" fontId="0" fillId="0" borderId="1" xfId="0" applyNumberFormat="1" applyBorder="1"/>
    <xf numFmtId="11" fontId="2" fillId="0" borderId="1" xfId="0" applyNumberFormat="1" applyFont="1" applyBorder="1"/>
    <xf numFmtId="0" fontId="2" fillId="0" borderId="0" xfId="0" applyFont="1" applyAlignment="1">
      <alignment horizontal="center" vertical="center"/>
    </xf>
    <xf numFmtId="0" fontId="12" fillId="0" borderId="1" xfId="0" applyFont="1" applyBorder="1"/>
    <xf numFmtId="0" fontId="10" fillId="0" borderId="0" xfId="0" applyFont="1" applyAlignment="1">
      <alignment horizontal="center" vertical="center" wrapText="1"/>
    </xf>
    <xf numFmtId="0" fontId="10" fillId="0" borderId="0" xfId="0" applyFont="1" applyAlignment="1">
      <alignment horizontal="center" wrapText="1"/>
    </xf>
    <xf numFmtId="0" fontId="10" fillId="0" borderId="0" xfId="0" applyFont="1" applyAlignment="1">
      <alignment horizontal="center" vertical="center"/>
    </xf>
    <xf numFmtId="0" fontId="10" fillId="0" borderId="0" xfId="0" applyFont="1" applyAlignment="1">
      <alignment horizontal="center"/>
    </xf>
    <xf numFmtId="0" fontId="7" fillId="0" borderId="0" xfId="0" applyFont="1" applyAlignment="1">
      <alignment horizontal="center" vertical="top"/>
    </xf>
    <xf numFmtId="0" fontId="1" fillId="0" borderId="1" xfId="0" applyFont="1" applyBorder="1"/>
    <xf numFmtId="0" fontId="2" fillId="0" borderId="1" xfId="0" applyFont="1" applyBorder="1"/>
    <xf numFmtId="0" fontId="2" fillId="0" borderId="1" xfId="0" applyFont="1" applyBorder="1" applyAlignment="1">
      <alignment horizontal="right"/>
    </xf>
    <xf numFmtId="0" fontId="6" fillId="0" borderId="1" xfId="0" applyFont="1" applyBorder="1" applyAlignment="1">
      <alignment horizontal="center"/>
    </xf>
    <xf numFmtId="0" fontId="2" fillId="0" borderId="1" xfId="0" applyFont="1" applyBorder="1" applyAlignment="1">
      <alignment horizontal="center"/>
    </xf>
    <xf numFmtId="0" fontId="8" fillId="0" borderId="1" xfId="0" applyFont="1" applyBorder="1" applyAlignment="1">
      <alignment horizontal="center"/>
    </xf>
    <xf numFmtId="2" fontId="6" fillId="0" borderId="1" xfId="0" applyNumberFormat="1" applyFont="1" applyBorder="1" applyAlignment="1">
      <alignment horizontal="center"/>
    </xf>
    <xf numFmtId="11" fontId="6" fillId="0" borderId="1" xfId="0" applyNumberFormat="1" applyFont="1" applyBorder="1" applyAlignment="1">
      <alignment horizontal="center"/>
    </xf>
    <xf numFmtId="0" fontId="13" fillId="0" borderId="0" xfId="0" applyFont="1"/>
    <xf numFmtId="0" fontId="11" fillId="0" borderId="1" xfId="0" applyFont="1" applyBorder="1" applyAlignment="1">
      <alignment horizontal="center" vertical="center"/>
    </xf>
    <xf numFmtId="11" fontId="11"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13" fillId="0" borderId="0" xfId="0" applyNumberFormat="1" applyFont="1"/>
    <xf numFmtId="164" fontId="0" fillId="0" borderId="0" xfId="0" applyNumberFormat="1"/>
    <xf numFmtId="0" fontId="0" fillId="0" borderId="0" xfId="0" applyAlignment="1">
      <alignment horizontal="center"/>
    </xf>
    <xf numFmtId="0" fontId="9" fillId="0" borderId="4" xfId="0" applyFont="1" applyBorder="1"/>
    <xf numFmtId="11" fontId="11" fillId="0" borderId="4" xfId="0" applyNumberFormat="1" applyFont="1" applyBorder="1" applyAlignment="1">
      <alignment horizontal="center" vertical="center"/>
    </xf>
    <xf numFmtId="0" fontId="2" fillId="0" borderId="2" xfId="0" applyFont="1" applyBorder="1" applyAlignment="1">
      <alignment horizontal="center"/>
    </xf>
    <xf numFmtId="0" fontId="2" fillId="0" borderId="0" xfId="0" applyFont="1"/>
    <xf numFmtId="11" fontId="2" fillId="0" borderId="0" xfId="0" applyNumberFormat="1" applyFont="1"/>
    <xf numFmtId="165" fontId="2" fillId="0" borderId="1" xfId="0" applyNumberFormat="1" applyFont="1" applyBorder="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2241</xdr:colOff>
      <xdr:row>0</xdr:row>
      <xdr:rowOff>0</xdr:rowOff>
    </xdr:from>
    <xdr:to>
      <xdr:col>19</xdr:col>
      <xdr:colOff>443653</xdr:colOff>
      <xdr:row>26</xdr:row>
      <xdr:rowOff>107545</xdr:rowOff>
    </xdr:to>
    <xdr:pic>
      <xdr:nvPicPr>
        <xdr:cNvPr id="2" name="Picture 1">
          <a:extLst>
            <a:ext uri="{FF2B5EF4-FFF2-40B4-BE49-F238E27FC236}">
              <a16:creationId xmlns:a16="http://schemas.microsoft.com/office/drawing/2014/main" id="{0F731EA8-129C-3143-946B-EB73BDDB9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22081" y="0"/>
          <a:ext cx="5379172" cy="5146905"/>
        </a:xfrm>
        <a:prstGeom prst="rect">
          <a:avLst/>
        </a:prstGeom>
      </xdr:spPr>
    </xdr:pic>
    <xdr:clientData/>
  </xdr:twoCellAnchor>
  <xdr:twoCellAnchor editAs="oneCell">
    <xdr:from>
      <xdr:col>19</xdr:col>
      <xdr:colOff>581054</xdr:colOff>
      <xdr:row>21</xdr:row>
      <xdr:rowOff>84359</xdr:rowOff>
    </xdr:from>
    <xdr:to>
      <xdr:col>26</xdr:col>
      <xdr:colOff>717974</xdr:colOff>
      <xdr:row>25</xdr:row>
      <xdr:rowOff>41890</xdr:rowOff>
    </xdr:to>
    <xdr:pic>
      <xdr:nvPicPr>
        <xdr:cNvPr id="3" name="Picture 2">
          <a:extLst>
            <a:ext uri="{FF2B5EF4-FFF2-40B4-BE49-F238E27FC236}">
              <a16:creationId xmlns:a16="http://schemas.microsoft.com/office/drawing/2014/main" id="{EB9B925D-52E5-6548-94B0-FEBF061B4A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38654" y="4361719"/>
          <a:ext cx="5897640" cy="729691"/>
        </a:xfrm>
        <a:prstGeom prst="rect">
          <a:avLst/>
        </a:prstGeom>
      </xdr:spPr>
    </xdr:pic>
    <xdr:clientData/>
  </xdr:twoCellAnchor>
  <xdr:twoCellAnchor editAs="oneCell">
    <xdr:from>
      <xdr:col>12</xdr:col>
      <xdr:colOff>812800</xdr:colOff>
      <xdr:row>25</xdr:row>
      <xdr:rowOff>186266</xdr:rowOff>
    </xdr:from>
    <xdr:to>
      <xdr:col>19</xdr:col>
      <xdr:colOff>575732</xdr:colOff>
      <xdr:row>55</xdr:row>
      <xdr:rowOff>29577</xdr:rowOff>
    </xdr:to>
    <xdr:pic>
      <xdr:nvPicPr>
        <xdr:cNvPr id="4" name="Picture 3">
          <a:extLst>
            <a:ext uri="{FF2B5EF4-FFF2-40B4-BE49-F238E27FC236}">
              <a16:creationId xmlns:a16="http://schemas.microsoft.com/office/drawing/2014/main" id="{4229B651-041C-4C44-8749-95010BC2B1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17300" y="5469466"/>
          <a:ext cx="5541432" cy="530431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5B5A-4C99-4FFF-A009-4B0244077301}">
  <dimension ref="A1:AA13"/>
  <sheetViews>
    <sheetView zoomScale="125" zoomScaleNormal="160" workbookViewId="0">
      <selection activeCell="D17" sqref="D17"/>
    </sheetView>
    <sheetView workbookViewId="1"/>
  </sheetViews>
  <sheetFormatPr baseColWidth="10" defaultColWidth="8.6640625" defaultRowHeight="15" x14ac:dyDescent="0.2"/>
  <cols>
    <col min="1" max="1" width="11" style="6" bestFit="1" customWidth="1"/>
    <col min="2" max="2" width="8.33203125" style="6" bestFit="1" customWidth="1"/>
    <col min="3" max="3" width="10.33203125" style="6" bestFit="1" customWidth="1"/>
    <col min="4" max="4" width="8" style="6" bestFit="1" customWidth="1"/>
    <col min="5" max="5" width="9" style="6" bestFit="1" customWidth="1"/>
    <col min="6" max="6" width="8.33203125" style="6" bestFit="1" customWidth="1"/>
    <col min="7" max="8" width="11" style="6" bestFit="1" customWidth="1"/>
    <col min="9" max="9" width="8.33203125" style="6" bestFit="1" customWidth="1"/>
    <col min="10" max="10" width="9" style="6" bestFit="1" customWidth="1"/>
    <col min="11" max="11" width="7" style="6" bestFit="1" customWidth="1"/>
    <col min="12" max="12" width="8.33203125" style="6" bestFit="1" customWidth="1"/>
    <col min="13" max="13" width="9.1640625" style="6" bestFit="1" customWidth="1"/>
    <col min="14" max="14" width="8.33203125" style="6" bestFit="1" customWidth="1"/>
    <col min="15" max="15" width="8.1640625" style="6" bestFit="1" customWidth="1"/>
    <col min="16" max="16" width="7" style="6" bestFit="1" customWidth="1"/>
    <col min="17" max="17" width="8.33203125" style="6" bestFit="1" customWidth="1"/>
    <col min="18" max="18" width="8" style="6" bestFit="1" customWidth="1"/>
    <col min="19" max="19" width="9.5" style="6" bestFit="1" customWidth="1"/>
    <col min="20" max="20" width="9.5" style="6" customWidth="1"/>
    <col min="21" max="23" width="7" style="6" bestFit="1" customWidth="1"/>
    <col min="24" max="16384" width="8.6640625" style="6"/>
  </cols>
  <sheetData>
    <row r="1" spans="1:27" x14ac:dyDescent="0.2">
      <c r="A1" s="30"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7" t="s">
        <v>63</v>
      </c>
      <c r="T1" s="7" t="s">
        <v>54</v>
      </c>
      <c r="U1" s="7" t="s">
        <v>55</v>
      </c>
      <c r="V1" s="7" t="s">
        <v>56</v>
      </c>
      <c r="W1" s="7" t="s">
        <v>64</v>
      </c>
      <c r="X1" s="7" t="s">
        <v>65</v>
      </c>
      <c r="Y1" s="7" t="s">
        <v>66</v>
      </c>
      <c r="Z1" s="30" t="s">
        <v>50</v>
      </c>
    </row>
    <row r="2" spans="1:27" x14ac:dyDescent="0.2">
      <c r="A2" s="30" t="s">
        <v>0</v>
      </c>
      <c r="B2" s="30">
        <v>330.05</v>
      </c>
      <c r="C2" s="30">
        <v>464.13</v>
      </c>
      <c r="D2" s="30">
        <v>214.03899999999999</v>
      </c>
      <c r="E2" s="30">
        <v>300.10000000000002</v>
      </c>
      <c r="F2" s="30">
        <v>514.08600000000001</v>
      </c>
      <c r="G2" s="30">
        <v>364.06200000000001</v>
      </c>
      <c r="H2" s="30">
        <v>314.05399999999997</v>
      </c>
      <c r="I2" s="30">
        <v>400.11</v>
      </c>
      <c r="J2" s="30">
        <v>180.03</v>
      </c>
      <c r="K2" s="30">
        <v>464.08</v>
      </c>
      <c r="L2" s="30">
        <v>550.13</v>
      </c>
      <c r="M2" s="30">
        <v>246.03700000000001</v>
      </c>
      <c r="N2" s="30">
        <v>312.04399999999998</v>
      </c>
      <c r="O2" s="30">
        <v>378.05099999999999</v>
      </c>
      <c r="P2" s="30">
        <v>414.07</v>
      </c>
      <c r="Q2" s="30">
        <v>500.13</v>
      </c>
      <c r="R2" s="30">
        <v>264.04700000000003</v>
      </c>
      <c r="S2" s="30">
        <v>230.03800000000001</v>
      </c>
      <c r="T2" s="31">
        <v>327.14</v>
      </c>
      <c r="U2" s="30">
        <v>428.16</v>
      </c>
      <c r="V2" s="30">
        <v>528.16999999999996</v>
      </c>
      <c r="W2" s="30">
        <v>450.12</v>
      </c>
      <c r="X2" s="32">
        <v>250.09</v>
      </c>
      <c r="Y2" s="30">
        <v>350.1</v>
      </c>
      <c r="Z2" s="31">
        <v>230.03800000000001</v>
      </c>
    </row>
    <row r="3" spans="1:27" s="11" customFormat="1" x14ac:dyDescent="0.2">
      <c r="A3" s="33" t="s">
        <v>1</v>
      </c>
      <c r="B3" s="33">
        <f>B2/B4</f>
        <v>188.6</v>
      </c>
      <c r="C3" s="33">
        <f>C2/C4</f>
        <v>252.24456521739128</v>
      </c>
      <c r="D3" s="33">
        <f>D2/D4</f>
        <v>129.72060606060606</v>
      </c>
      <c r="E3" s="33">
        <v>162</v>
      </c>
      <c r="F3" s="33">
        <v>292</v>
      </c>
      <c r="G3" s="33">
        <f>G2/G4</f>
        <v>212.90175438596492</v>
      </c>
      <c r="H3" s="33">
        <v>182</v>
      </c>
      <c r="I3" s="33">
        <v>217</v>
      </c>
      <c r="J3" s="33">
        <f>J2/J4</f>
        <v>111.12962962962962</v>
      </c>
      <c r="K3" s="33">
        <v>265</v>
      </c>
      <c r="L3" s="33">
        <f>L2/L4</f>
        <v>295.76881720430106</v>
      </c>
      <c r="M3" s="33">
        <f>M2/M4</f>
        <v>140.59257142857143</v>
      </c>
      <c r="N3" s="33">
        <f>N2/N4</f>
        <v>174.3262569832402</v>
      </c>
      <c r="O3" s="33">
        <f>O2/O4</f>
        <v>212.388202247191</v>
      </c>
      <c r="P3" s="33">
        <v>237</v>
      </c>
      <c r="Q3" s="33">
        <v>272</v>
      </c>
      <c r="R3" s="33">
        <f t="shared" ref="R3:Y3" si="0">R2/R4</f>
        <v>158.11197604790422</v>
      </c>
      <c r="S3" s="33">
        <f t="shared" si="0"/>
        <v>139.41696969696972</v>
      </c>
      <c r="T3" s="31">
        <v>195</v>
      </c>
      <c r="U3" s="33">
        <f t="shared" si="0"/>
        <v>254.85714285714289</v>
      </c>
      <c r="V3" s="33">
        <f t="shared" si="0"/>
        <v>308.87134502923976</v>
      </c>
      <c r="W3" s="33">
        <f t="shared" si="0"/>
        <v>242</v>
      </c>
      <c r="X3" s="33">
        <f t="shared" si="0"/>
        <v>137.41208791208791</v>
      </c>
      <c r="Y3" s="33">
        <f t="shared" si="0"/>
        <v>191.31147540983608</v>
      </c>
      <c r="Z3" s="31">
        <v>134</v>
      </c>
    </row>
    <row r="4" spans="1:27" x14ac:dyDescent="0.2">
      <c r="A4" s="30" t="s">
        <v>3</v>
      </c>
      <c r="B4" s="30">
        <v>1.75</v>
      </c>
      <c r="C4" s="30">
        <v>1.84</v>
      </c>
      <c r="D4" s="30">
        <v>1.65</v>
      </c>
      <c r="E4" s="30">
        <v>1.83</v>
      </c>
      <c r="F4" s="30">
        <v>1.79</v>
      </c>
      <c r="G4" s="30">
        <v>1.71</v>
      </c>
      <c r="H4" s="30">
        <v>1.69</v>
      </c>
      <c r="I4" s="30">
        <v>1.84</v>
      </c>
      <c r="J4" s="30">
        <v>1.62</v>
      </c>
      <c r="K4" s="30">
        <v>1.78</v>
      </c>
      <c r="L4" s="30">
        <v>1.86</v>
      </c>
      <c r="M4" s="30">
        <v>1.75</v>
      </c>
      <c r="N4" s="30">
        <v>1.79</v>
      </c>
      <c r="O4" s="30">
        <v>1.78</v>
      </c>
      <c r="P4" s="30">
        <v>1.8</v>
      </c>
      <c r="Q4" s="30">
        <v>1.84</v>
      </c>
      <c r="R4" s="30">
        <v>1.67</v>
      </c>
      <c r="S4" s="30">
        <v>1.65</v>
      </c>
      <c r="T4" s="30">
        <v>1.65</v>
      </c>
      <c r="U4" s="30">
        <v>1.68</v>
      </c>
      <c r="V4" s="30">
        <v>1.71</v>
      </c>
      <c r="W4" s="30">
        <v>1.86</v>
      </c>
      <c r="X4" s="30">
        <v>1.82</v>
      </c>
      <c r="Y4" s="30">
        <v>1.83</v>
      </c>
      <c r="Z4" s="30">
        <v>1.5</v>
      </c>
    </row>
    <row r="5" spans="1:27" s="12" customFormat="1" x14ac:dyDescent="0.2">
      <c r="A5" s="34" t="s">
        <v>4</v>
      </c>
      <c r="B5" s="34">
        <v>5.5199999999999999E-2</v>
      </c>
      <c r="C5" s="34"/>
      <c r="D5" s="34"/>
      <c r="E5" s="34">
        <v>2292.7640000000001</v>
      </c>
      <c r="F5" s="34"/>
      <c r="G5" s="34">
        <v>162.37165200000001</v>
      </c>
      <c r="H5" s="34">
        <v>200.05239799999995</v>
      </c>
      <c r="I5" s="34">
        <v>0</v>
      </c>
      <c r="J5" s="34"/>
      <c r="K5" s="34"/>
      <c r="L5" s="34"/>
      <c r="M5" s="34"/>
      <c r="N5" s="34"/>
      <c r="O5" s="34"/>
      <c r="P5" s="34"/>
      <c r="Q5" s="34">
        <v>0</v>
      </c>
      <c r="R5" s="34"/>
      <c r="S5" s="34"/>
      <c r="T5" s="34"/>
      <c r="U5" s="34"/>
      <c r="V5" s="34"/>
      <c r="W5" s="34"/>
      <c r="X5" s="34"/>
      <c r="Y5" s="34"/>
      <c r="Z5" s="34"/>
    </row>
    <row r="6" spans="1:27" x14ac:dyDescent="0.2">
      <c r="A6" s="30" t="s">
        <v>5</v>
      </c>
      <c r="B6" s="30"/>
      <c r="C6" s="30"/>
      <c r="D6" s="30">
        <v>6.37</v>
      </c>
      <c r="E6" s="34">
        <v>0.23799999999999999</v>
      </c>
      <c r="F6" s="34">
        <v>3.1099999999999999E-2</v>
      </c>
      <c r="G6" s="30">
        <v>0.13300000000000001</v>
      </c>
      <c r="H6" s="30">
        <v>1.45</v>
      </c>
      <c r="I6" s="34">
        <v>9.9500000000000005E-3</v>
      </c>
      <c r="J6" s="30">
        <v>8.4600000000000009</v>
      </c>
      <c r="K6" s="30">
        <v>0.17100000000000001</v>
      </c>
      <c r="L6" s="34">
        <v>5.6499999999999996E-3</v>
      </c>
      <c r="M6" s="30"/>
      <c r="N6" s="30"/>
      <c r="O6" s="30"/>
      <c r="P6" s="30">
        <v>0.52500000000000002</v>
      </c>
      <c r="Q6" s="34">
        <v>7.7999999999999996E-3</v>
      </c>
      <c r="R6" s="30">
        <v>3.54</v>
      </c>
      <c r="S6" s="30"/>
      <c r="T6" s="30"/>
      <c r="U6" s="30"/>
      <c r="V6" s="30"/>
      <c r="W6" s="30"/>
      <c r="X6" s="30"/>
      <c r="Y6" s="30"/>
      <c r="Z6" s="30"/>
    </row>
    <row r="7" spans="1:27" x14ac:dyDescent="0.2">
      <c r="A7" s="30" t="s">
        <v>2</v>
      </c>
      <c r="B7" s="30">
        <v>173</v>
      </c>
      <c r="C7" s="30"/>
      <c r="D7" s="30">
        <v>121</v>
      </c>
      <c r="E7" s="30">
        <v>211</v>
      </c>
      <c r="F7" s="30">
        <v>184</v>
      </c>
      <c r="G7" s="30">
        <v>175</v>
      </c>
      <c r="H7" s="30">
        <v>157</v>
      </c>
      <c r="I7" s="30">
        <v>239</v>
      </c>
      <c r="J7" s="30">
        <v>110</v>
      </c>
      <c r="K7" s="30">
        <v>218</v>
      </c>
      <c r="L7" s="30">
        <v>245</v>
      </c>
      <c r="M7" s="30"/>
      <c r="N7" s="30"/>
      <c r="O7" s="30"/>
      <c r="P7" s="30">
        <v>189</v>
      </c>
      <c r="Q7" s="30">
        <v>145</v>
      </c>
      <c r="R7" s="30">
        <v>138</v>
      </c>
      <c r="S7" s="30"/>
      <c r="T7" s="30"/>
      <c r="U7" s="30"/>
      <c r="V7" s="30"/>
      <c r="W7" s="30"/>
      <c r="X7" s="30"/>
      <c r="Y7" s="30"/>
      <c r="Z7" s="30"/>
    </row>
    <row r="13" spans="1:27" x14ac:dyDescent="0.2">
      <c r="Y13" s="20"/>
      <c r="AA1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7697-1B90-46DD-B82E-FCE20BA48421}">
  <dimension ref="A1:AJ19"/>
  <sheetViews>
    <sheetView tabSelected="1" topLeftCell="AG1" zoomScale="122" zoomScaleNormal="122" workbookViewId="0">
      <selection activeCell="AJ10" sqref="AJ10"/>
    </sheetView>
    <sheetView topLeftCell="J1" workbookViewId="1">
      <selection activeCell="O22" sqref="O22"/>
    </sheetView>
  </sheetViews>
  <sheetFormatPr baseColWidth="10" defaultColWidth="8.83203125" defaultRowHeight="15" x14ac:dyDescent="0.2"/>
  <cols>
    <col min="1" max="1" width="8.83203125" customWidth="1"/>
  </cols>
  <sheetData>
    <row r="1" spans="1:36" x14ac:dyDescent="0.2">
      <c r="A1" s="6"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8" t="s">
        <v>63</v>
      </c>
      <c r="T1" s="9" t="s">
        <v>54</v>
      </c>
      <c r="U1" s="9" t="s">
        <v>55</v>
      </c>
      <c r="V1" s="9" t="s">
        <v>56</v>
      </c>
      <c r="W1" s="9" t="s">
        <v>64</v>
      </c>
      <c r="X1" s="9" t="s">
        <v>65</v>
      </c>
      <c r="Y1" s="9" t="s">
        <v>66</v>
      </c>
      <c r="Z1" s="9" t="s">
        <v>50</v>
      </c>
    </row>
    <row r="2" spans="1:36" ht="16" x14ac:dyDescent="0.25">
      <c r="A2" s="1" t="s">
        <v>6</v>
      </c>
      <c r="B2" s="35">
        <v>1</v>
      </c>
      <c r="C2" s="35">
        <v>1</v>
      </c>
      <c r="D2" s="35">
        <v>1</v>
      </c>
      <c r="E2" s="35">
        <v>1</v>
      </c>
      <c r="F2" s="35">
        <v>1</v>
      </c>
      <c r="G2" s="35">
        <v>1</v>
      </c>
      <c r="H2" s="35">
        <v>1</v>
      </c>
      <c r="I2" s="35">
        <v>1</v>
      </c>
      <c r="J2" s="35">
        <v>1</v>
      </c>
      <c r="K2" s="35">
        <v>1</v>
      </c>
      <c r="L2" s="35">
        <v>1</v>
      </c>
      <c r="M2" s="35">
        <v>1</v>
      </c>
      <c r="N2" s="35">
        <v>1</v>
      </c>
      <c r="O2" s="35">
        <v>1</v>
      </c>
      <c r="P2" s="35">
        <v>1</v>
      </c>
      <c r="Q2" s="35">
        <v>1</v>
      </c>
      <c r="R2" s="35">
        <v>1</v>
      </c>
      <c r="S2" s="35">
        <v>1</v>
      </c>
      <c r="T2" s="35">
        <v>1</v>
      </c>
      <c r="U2" s="35">
        <v>1</v>
      </c>
      <c r="V2" s="35">
        <v>1</v>
      </c>
      <c r="W2" s="35">
        <v>1</v>
      </c>
      <c r="X2" s="35">
        <v>1</v>
      </c>
      <c r="Y2" s="35">
        <v>1</v>
      </c>
      <c r="Z2" s="35">
        <v>1</v>
      </c>
    </row>
    <row r="3" spans="1:36" x14ac:dyDescent="0.2">
      <c r="A3" s="1" t="s">
        <v>7</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row>
    <row r="4" spans="1:36" x14ac:dyDescent="0.2">
      <c r="A4" s="1" t="s">
        <v>8</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row>
    <row r="5" spans="1:36" x14ac:dyDescent="0.2">
      <c r="A5" s="1" t="s">
        <v>9</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row>
    <row r="6" spans="1:36" x14ac:dyDescent="0.2">
      <c r="A6" s="1" t="s">
        <v>10</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row>
    <row r="9" spans="1:36" ht="16" x14ac:dyDescent="0.25">
      <c r="AJ9" s="39" t="s">
        <v>101</v>
      </c>
    </row>
    <row r="10" spans="1:36" x14ac:dyDescent="0.2">
      <c r="AJ10" s="40"/>
    </row>
    <row r="11" spans="1:36" ht="16" x14ac:dyDescent="0.25">
      <c r="AJ11" s="39" t="s">
        <v>102</v>
      </c>
    </row>
    <row r="12" spans="1:36" ht="16" x14ac:dyDescent="0.25">
      <c r="AJ12" s="39" t="s">
        <v>103</v>
      </c>
    </row>
    <row r="13" spans="1:36" ht="16" x14ac:dyDescent="0.25">
      <c r="AJ13" s="39" t="s">
        <v>104</v>
      </c>
    </row>
    <row r="14" spans="1:36" ht="16" x14ac:dyDescent="0.25">
      <c r="AJ14" s="39" t="s">
        <v>105</v>
      </c>
    </row>
    <row r="15" spans="1:36" ht="16" x14ac:dyDescent="0.25">
      <c r="AJ15" s="39" t="s">
        <v>106</v>
      </c>
    </row>
    <row r="16" spans="1:36" ht="16" x14ac:dyDescent="0.25">
      <c r="AJ16" s="39" t="s">
        <v>107</v>
      </c>
    </row>
    <row r="17" spans="36:36" ht="16" x14ac:dyDescent="0.25">
      <c r="AJ17" s="39" t="s">
        <v>108</v>
      </c>
    </row>
    <row r="18" spans="36:36" ht="16" x14ac:dyDescent="0.25">
      <c r="AJ18" s="39" t="s">
        <v>109</v>
      </c>
    </row>
    <row r="19" spans="36:36" ht="16" x14ac:dyDescent="0.25">
      <c r="AJ19" s="39"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F7DD-731C-403E-ACEA-F853111BA809}">
  <dimension ref="A1:C16"/>
  <sheetViews>
    <sheetView zoomScale="150" zoomScaleNormal="150" workbookViewId="0">
      <selection activeCell="B20" sqref="B20"/>
    </sheetView>
    <sheetView workbookViewId="1">
      <selection activeCell="E22" sqref="E22"/>
    </sheetView>
  </sheetViews>
  <sheetFormatPr baseColWidth="10" defaultColWidth="8.83203125" defaultRowHeight="15" x14ac:dyDescent="0.2"/>
  <cols>
    <col min="1" max="1" width="15.83203125" bestFit="1" customWidth="1"/>
  </cols>
  <sheetData>
    <row r="1" spans="1:3" x14ac:dyDescent="0.2">
      <c r="A1" s="27" t="s">
        <v>11</v>
      </c>
      <c r="B1" s="27" t="s">
        <v>12</v>
      </c>
      <c r="C1" s="27" t="s">
        <v>13</v>
      </c>
    </row>
    <row r="2" spans="1:3" x14ac:dyDescent="0.2">
      <c r="A2" s="28" t="s">
        <v>14</v>
      </c>
      <c r="B2" s="29" t="s">
        <v>67</v>
      </c>
      <c r="C2" s="13"/>
    </row>
    <row r="3" spans="1:3" x14ac:dyDescent="0.2">
      <c r="A3" s="28" t="s">
        <v>15</v>
      </c>
      <c r="B3" s="48">
        <f>0.007/2</f>
        <v>3.5000000000000001E-3</v>
      </c>
      <c r="C3" s="13" t="s">
        <v>16</v>
      </c>
    </row>
    <row r="4" spans="1:3" ht="16" x14ac:dyDescent="0.2">
      <c r="A4" s="28" t="s">
        <v>17</v>
      </c>
      <c r="B4" s="14">
        <v>0.38100000000000001</v>
      </c>
      <c r="C4" s="13"/>
    </row>
    <row r="5" spans="1:3" x14ac:dyDescent="0.2">
      <c r="A5" s="28" t="s">
        <v>18</v>
      </c>
      <c r="B5" s="28">
        <v>1</v>
      </c>
      <c r="C5" s="13"/>
    </row>
    <row r="6" spans="1:3" x14ac:dyDescent="0.2">
      <c r="A6" s="28" t="s">
        <v>19</v>
      </c>
      <c r="B6" s="28">
        <v>1.05</v>
      </c>
      <c r="C6" s="13" t="s">
        <v>20</v>
      </c>
    </row>
    <row r="7" spans="1:3" x14ac:dyDescent="0.2">
      <c r="A7" s="28" t="s">
        <v>30</v>
      </c>
      <c r="B7" s="17">
        <v>0.64995000000000003</v>
      </c>
      <c r="C7" s="13" t="s">
        <v>20</v>
      </c>
    </row>
    <row r="8" spans="1:3" x14ac:dyDescent="0.2">
      <c r="A8" s="28" t="s">
        <v>21</v>
      </c>
      <c r="B8" s="28">
        <v>1.5</v>
      </c>
      <c r="C8" s="13" t="s">
        <v>16</v>
      </c>
    </row>
    <row r="9" spans="1:3" x14ac:dyDescent="0.2">
      <c r="A9" s="28" t="s">
        <v>22</v>
      </c>
      <c r="B9" s="13">
        <f>45.7/1000</f>
        <v>4.5700000000000005E-2</v>
      </c>
      <c r="C9" s="13" t="s">
        <v>68</v>
      </c>
    </row>
    <row r="10" spans="1:3" x14ac:dyDescent="0.2">
      <c r="A10" s="28" t="s">
        <v>23</v>
      </c>
      <c r="B10" s="13">
        <f>0.09633334*60</f>
        <v>5.7800004000000005</v>
      </c>
      <c r="C10" s="13" t="s">
        <v>69</v>
      </c>
    </row>
    <row r="11" spans="1:3" x14ac:dyDescent="0.2">
      <c r="A11" s="28" t="s">
        <v>24</v>
      </c>
      <c r="B11" s="28">
        <v>0.318</v>
      </c>
      <c r="C11" s="13" t="s">
        <v>16</v>
      </c>
    </row>
    <row r="12" spans="1:3" x14ac:dyDescent="0.2">
      <c r="A12" s="28" t="s">
        <v>25</v>
      </c>
      <c r="B12" s="28">
        <v>1</v>
      </c>
      <c r="C12" s="13"/>
    </row>
    <row r="13" spans="1:3" x14ac:dyDescent="0.2">
      <c r="A13" s="28" t="s">
        <v>26</v>
      </c>
      <c r="B13" s="28" t="s">
        <v>27</v>
      </c>
      <c r="C13" s="13"/>
    </row>
    <row r="14" spans="1:3" x14ac:dyDescent="0.2">
      <c r="A14" s="28" t="s">
        <v>28</v>
      </c>
      <c r="B14" s="28" t="s">
        <v>29</v>
      </c>
      <c r="C14" s="13"/>
    </row>
    <row r="15" spans="1:3" x14ac:dyDescent="0.2">
      <c r="A15" s="28" t="s">
        <v>13</v>
      </c>
      <c r="B15" s="13" t="s">
        <v>111</v>
      </c>
      <c r="C15" s="13"/>
    </row>
    <row r="16" spans="1:3" x14ac:dyDescent="0.2">
      <c r="A16" s="28" t="s">
        <v>31</v>
      </c>
      <c r="B16" s="28" t="s">
        <v>70</v>
      </c>
      <c r="C16"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CFB4-DB77-4CE9-BB3A-E676947AF423}">
  <dimension ref="A1:U625"/>
  <sheetViews>
    <sheetView topLeftCell="A206" zoomScale="173" workbookViewId="0">
      <selection activeCell="B29" sqref="B29"/>
    </sheetView>
    <sheetView tabSelected="1" topLeftCell="A604" workbookViewId="1">
      <selection activeCell="I576" sqref="I576"/>
    </sheetView>
  </sheetViews>
  <sheetFormatPr baseColWidth="10" defaultColWidth="8.83203125" defaultRowHeight="15" x14ac:dyDescent="0.2"/>
  <cols>
    <col min="1" max="1" width="7.1640625" bestFit="1" customWidth="1"/>
    <col min="2" max="2" width="9.6640625" bestFit="1" customWidth="1"/>
    <col min="3" max="3" width="12" bestFit="1" customWidth="1"/>
    <col min="4" max="4" width="9.5" bestFit="1" customWidth="1"/>
  </cols>
  <sheetData>
    <row r="1" spans="1:21" x14ac:dyDescent="0.2">
      <c r="A1" s="13" t="s">
        <v>32</v>
      </c>
      <c r="B1" s="13" t="s">
        <v>31</v>
      </c>
      <c r="C1" s="13" t="s">
        <v>33</v>
      </c>
      <c r="D1" s="13" t="s">
        <v>34</v>
      </c>
    </row>
    <row r="2" spans="1:21" x14ac:dyDescent="0.2">
      <c r="A2" s="13" t="s">
        <v>27</v>
      </c>
      <c r="B2" s="15">
        <v>0</v>
      </c>
      <c r="C2" s="47">
        <v>3.5963999999999999E-4</v>
      </c>
      <c r="D2" s="28" t="s">
        <v>42</v>
      </c>
    </row>
    <row r="3" spans="1:21" x14ac:dyDescent="0.2">
      <c r="A3" s="13" t="s">
        <v>27</v>
      </c>
      <c r="B3" s="28">
        <v>51.527500000000003</v>
      </c>
      <c r="C3" s="47">
        <v>3.5963999999999999E-4</v>
      </c>
      <c r="D3" s="28" t="s">
        <v>42</v>
      </c>
    </row>
    <row r="4" spans="1:21" x14ac:dyDescent="0.2">
      <c r="A4" s="13" t="s">
        <v>27</v>
      </c>
      <c r="B4" s="16">
        <v>0</v>
      </c>
      <c r="C4" s="47">
        <v>3.4379000000000001E-4</v>
      </c>
      <c r="D4" s="28" t="s">
        <v>43</v>
      </c>
      <c r="H4" s="45"/>
      <c r="I4" s="45"/>
      <c r="J4" s="45"/>
      <c r="K4" s="45"/>
      <c r="L4" s="45"/>
      <c r="M4" s="45"/>
      <c r="N4" s="45"/>
      <c r="O4" s="45"/>
      <c r="P4" s="45"/>
      <c r="Q4" s="45"/>
      <c r="R4" s="45"/>
      <c r="S4" s="45"/>
    </row>
    <row r="5" spans="1:21" x14ac:dyDescent="0.2">
      <c r="A5" s="13" t="s">
        <v>27</v>
      </c>
      <c r="B5" s="28">
        <v>51.527500000000003</v>
      </c>
      <c r="C5" s="47">
        <v>3.4379000000000001E-4</v>
      </c>
      <c r="D5" s="28" t="s">
        <v>43</v>
      </c>
      <c r="H5" s="45"/>
      <c r="I5" s="45"/>
      <c r="J5" s="45"/>
      <c r="K5" s="45"/>
      <c r="L5" s="45"/>
      <c r="M5" s="45"/>
      <c r="N5" s="45"/>
      <c r="O5" s="45"/>
      <c r="P5" s="45"/>
      <c r="Q5" s="45"/>
      <c r="R5" s="45"/>
      <c r="S5" s="45"/>
    </row>
    <row r="6" spans="1:21" x14ac:dyDescent="0.2">
      <c r="A6" s="13" t="s">
        <v>27</v>
      </c>
      <c r="B6" s="15">
        <v>0</v>
      </c>
      <c r="C6" s="47">
        <v>3.4295000000000001E-4</v>
      </c>
      <c r="D6" s="28" t="s">
        <v>44</v>
      </c>
      <c r="G6" s="45"/>
      <c r="H6" s="45"/>
      <c r="I6" s="45"/>
      <c r="J6" s="45"/>
      <c r="K6" s="45"/>
      <c r="L6" s="45"/>
      <c r="M6" s="45"/>
      <c r="N6" s="45"/>
      <c r="O6" s="45"/>
      <c r="P6" s="45"/>
      <c r="Q6" s="45"/>
      <c r="R6" s="45"/>
      <c r="S6" s="45"/>
      <c r="T6" s="45"/>
      <c r="U6" s="46"/>
    </row>
    <row r="7" spans="1:21" x14ac:dyDescent="0.2">
      <c r="A7" s="13" t="s">
        <v>27</v>
      </c>
      <c r="B7" s="28">
        <v>51.527500000000003</v>
      </c>
      <c r="C7" s="47">
        <v>3.4295000000000001E-4</v>
      </c>
      <c r="D7" s="28" t="s">
        <v>44</v>
      </c>
      <c r="G7" s="45"/>
      <c r="H7" s="45"/>
      <c r="I7" s="45"/>
      <c r="J7" s="45"/>
      <c r="K7" s="45"/>
      <c r="L7" s="45"/>
      <c r="M7" s="45"/>
      <c r="N7" s="45"/>
      <c r="O7" s="45"/>
      <c r="P7" s="45"/>
      <c r="Q7" s="45"/>
      <c r="R7" s="45"/>
      <c r="S7" s="45"/>
      <c r="T7" s="45"/>
      <c r="U7" s="46"/>
    </row>
    <row r="8" spans="1:21" x14ac:dyDescent="0.2">
      <c r="A8" s="13" t="s">
        <v>27</v>
      </c>
      <c r="B8" s="16">
        <v>0</v>
      </c>
      <c r="C8" s="47">
        <v>3.2650000000000002E-4</v>
      </c>
      <c r="D8" s="28" t="s">
        <v>45</v>
      </c>
      <c r="G8" s="45"/>
      <c r="H8" s="45"/>
    </row>
    <row r="9" spans="1:21" x14ac:dyDescent="0.2">
      <c r="A9" s="13" t="s">
        <v>27</v>
      </c>
      <c r="B9" s="28">
        <v>51.527500000000003</v>
      </c>
      <c r="C9" s="47">
        <v>3.2650000000000002E-4</v>
      </c>
      <c r="D9" s="28" t="s">
        <v>45</v>
      </c>
      <c r="G9" s="45"/>
      <c r="H9" s="45"/>
    </row>
    <row r="10" spans="1:21" x14ac:dyDescent="0.2">
      <c r="A10" s="13" t="s">
        <v>27</v>
      </c>
      <c r="B10" s="15">
        <v>0</v>
      </c>
      <c r="C10" s="47">
        <v>3.3297999999999997E-4</v>
      </c>
      <c r="D10" s="28" t="s">
        <v>46</v>
      </c>
      <c r="G10" s="45"/>
      <c r="H10" s="45"/>
    </row>
    <row r="11" spans="1:21" x14ac:dyDescent="0.2">
      <c r="A11" s="13" t="s">
        <v>27</v>
      </c>
      <c r="B11" s="28">
        <v>51.527500000000003</v>
      </c>
      <c r="C11" s="47">
        <v>3.3297999999999997E-4</v>
      </c>
      <c r="D11" s="28" t="s">
        <v>46</v>
      </c>
      <c r="G11" s="45"/>
      <c r="H11" s="45"/>
    </row>
    <row r="12" spans="1:21" x14ac:dyDescent="0.2">
      <c r="A12" s="13" t="s">
        <v>27</v>
      </c>
      <c r="B12" s="16">
        <v>0</v>
      </c>
      <c r="C12" s="47">
        <v>2.4168E-4</v>
      </c>
      <c r="D12" s="28" t="s">
        <v>47</v>
      </c>
      <c r="G12" s="45"/>
      <c r="H12" s="45"/>
    </row>
    <row r="13" spans="1:21" x14ac:dyDescent="0.2">
      <c r="A13" s="13" t="s">
        <v>27</v>
      </c>
      <c r="B13" s="28">
        <v>51.527500000000003</v>
      </c>
      <c r="C13" s="47">
        <v>2.4168E-4</v>
      </c>
      <c r="D13" s="28" t="s">
        <v>47</v>
      </c>
      <c r="G13" s="45"/>
      <c r="H13" s="45"/>
    </row>
    <row r="14" spans="1:21" x14ac:dyDescent="0.2">
      <c r="A14" s="13" t="s">
        <v>27</v>
      </c>
      <c r="B14" s="15">
        <v>0</v>
      </c>
      <c r="C14" s="47">
        <v>4.3554999999999999E-4</v>
      </c>
      <c r="D14" s="28" t="s">
        <v>49</v>
      </c>
      <c r="G14" s="45"/>
      <c r="H14" s="45"/>
    </row>
    <row r="15" spans="1:21" x14ac:dyDescent="0.2">
      <c r="A15" s="13" t="s">
        <v>27</v>
      </c>
      <c r="B15" s="28">
        <v>51.527500000000003</v>
      </c>
      <c r="C15" s="47">
        <v>4.3554999999999999E-4</v>
      </c>
      <c r="D15" s="28" t="s">
        <v>49</v>
      </c>
      <c r="G15" s="45"/>
      <c r="H15" s="45"/>
    </row>
    <row r="16" spans="1:21" x14ac:dyDescent="0.2">
      <c r="A16" s="13" t="s">
        <v>27</v>
      </c>
      <c r="B16" s="16">
        <v>0</v>
      </c>
      <c r="C16" s="47">
        <v>2.9701E-4</v>
      </c>
      <c r="D16" s="28" t="s">
        <v>50</v>
      </c>
      <c r="G16" s="45"/>
      <c r="H16" s="45"/>
    </row>
    <row r="17" spans="1:8" x14ac:dyDescent="0.2">
      <c r="A17" s="13" t="s">
        <v>27</v>
      </c>
      <c r="B17" s="28">
        <v>51.527500000000003</v>
      </c>
      <c r="C17" s="47">
        <v>2.9701E-4</v>
      </c>
      <c r="D17" s="28" t="s">
        <v>50</v>
      </c>
      <c r="G17" s="45"/>
      <c r="H17" s="45"/>
    </row>
    <row r="18" spans="1:8" x14ac:dyDescent="0.2">
      <c r="A18" s="13" t="s">
        <v>27</v>
      </c>
      <c r="B18" s="15">
        <v>0</v>
      </c>
      <c r="C18" s="47">
        <v>3.0766000000000002E-4</v>
      </c>
      <c r="D18" s="28" t="s">
        <v>57</v>
      </c>
      <c r="G18" s="46"/>
      <c r="H18" s="46"/>
    </row>
    <row r="19" spans="1:8" x14ac:dyDescent="0.2">
      <c r="A19" s="13" t="s">
        <v>27</v>
      </c>
      <c r="B19" s="28">
        <v>51.527500000000003</v>
      </c>
      <c r="C19" s="47">
        <v>3.0766000000000002E-4</v>
      </c>
      <c r="D19" s="28" t="s">
        <v>57</v>
      </c>
    </row>
    <row r="20" spans="1:8" x14ac:dyDescent="0.2">
      <c r="A20" s="13" t="s">
        <v>27</v>
      </c>
      <c r="B20" s="16">
        <v>0</v>
      </c>
      <c r="C20" s="47">
        <v>3.0766000000000002E-4</v>
      </c>
      <c r="D20" s="28" t="s">
        <v>51</v>
      </c>
    </row>
    <row r="21" spans="1:8" x14ac:dyDescent="0.2">
      <c r="A21" s="13" t="s">
        <v>27</v>
      </c>
      <c r="B21" s="28">
        <v>51.527500000000003</v>
      </c>
      <c r="C21" s="47">
        <v>3.0766000000000002E-4</v>
      </c>
      <c r="D21" s="28" t="s">
        <v>51</v>
      </c>
    </row>
    <row r="22" spans="1:8" x14ac:dyDescent="0.2">
      <c r="A22" s="13" t="s">
        <v>27</v>
      </c>
      <c r="B22" s="15">
        <v>0</v>
      </c>
      <c r="C22" s="28">
        <v>3.0766000000000002E-4</v>
      </c>
      <c r="D22" s="28" t="s">
        <v>54</v>
      </c>
    </row>
    <row r="23" spans="1:8" x14ac:dyDescent="0.2">
      <c r="A23" s="13" t="s">
        <v>27</v>
      </c>
      <c r="B23" s="28">
        <v>51.527500000000003</v>
      </c>
      <c r="C23" s="28">
        <v>3.0766000000000002E-4</v>
      </c>
      <c r="D23" s="28" t="s">
        <v>54</v>
      </c>
    </row>
    <row r="24" spans="1:8" x14ac:dyDescent="0.2">
      <c r="A24" s="13" t="s">
        <v>27</v>
      </c>
      <c r="B24" s="16">
        <v>0</v>
      </c>
      <c r="C24" s="28">
        <v>2.7978999999999998E-4</v>
      </c>
      <c r="D24" s="28" t="s">
        <v>55</v>
      </c>
    </row>
    <row r="25" spans="1:8" x14ac:dyDescent="0.2">
      <c r="A25" s="13" t="s">
        <v>27</v>
      </c>
      <c r="B25" s="28">
        <v>51.527500000000003</v>
      </c>
      <c r="C25" s="28">
        <v>2.7978999999999998E-4</v>
      </c>
      <c r="D25" s="28" t="s">
        <v>55</v>
      </c>
    </row>
    <row r="26" spans="1:8" x14ac:dyDescent="0.2">
      <c r="A26" s="13" t="s">
        <v>29</v>
      </c>
      <c r="B26" s="28">
        <v>0</v>
      </c>
      <c r="C26" s="19">
        <v>2.0911200000000001E-5</v>
      </c>
      <c r="D26" s="28" t="s">
        <v>42</v>
      </c>
    </row>
    <row r="27" spans="1:8" x14ac:dyDescent="0.2">
      <c r="A27" s="13" t="s">
        <v>29</v>
      </c>
      <c r="B27" s="28">
        <v>51.527500000000003</v>
      </c>
      <c r="C27" s="19">
        <v>1.0105700000000001E-5</v>
      </c>
      <c r="D27" s="28" t="s">
        <v>42</v>
      </c>
    </row>
    <row r="28" spans="1:8" x14ac:dyDescent="0.2">
      <c r="A28" s="13" t="s">
        <v>29</v>
      </c>
      <c r="B28" s="28">
        <v>103.05500000000001</v>
      </c>
      <c r="C28" s="19">
        <v>4.6530099999999997E-5</v>
      </c>
      <c r="D28" s="28" t="s">
        <v>42</v>
      </c>
    </row>
    <row r="29" spans="1:8" x14ac:dyDescent="0.2">
      <c r="A29" s="13" t="s">
        <v>29</v>
      </c>
      <c r="B29" s="28">
        <v>103.05500000000001</v>
      </c>
      <c r="C29" s="19">
        <v>2.1256399999999999E-5</v>
      </c>
      <c r="D29" s="28" t="s">
        <v>42</v>
      </c>
    </row>
    <row r="30" spans="1:8" x14ac:dyDescent="0.2">
      <c r="A30" s="13" t="s">
        <v>29</v>
      </c>
      <c r="B30" s="28">
        <v>154.58250000000001</v>
      </c>
      <c r="C30" s="28">
        <v>1.43406E-4</v>
      </c>
      <c r="D30" s="28" t="s">
        <v>42</v>
      </c>
    </row>
    <row r="31" spans="1:8" x14ac:dyDescent="0.2">
      <c r="A31" s="13" t="s">
        <v>29</v>
      </c>
      <c r="B31" s="28">
        <v>154.58250000000001</v>
      </c>
      <c r="C31" s="19">
        <v>8.0250800000000001E-5</v>
      </c>
      <c r="D31" s="28" t="s">
        <v>42</v>
      </c>
    </row>
    <row r="32" spans="1:8" x14ac:dyDescent="0.2">
      <c r="A32" s="13" t="s">
        <v>29</v>
      </c>
      <c r="B32" s="28">
        <v>206.11</v>
      </c>
      <c r="C32" s="28">
        <v>1.51834E-4</v>
      </c>
      <c r="D32" s="28" t="s">
        <v>42</v>
      </c>
    </row>
    <row r="33" spans="1:4" x14ac:dyDescent="0.2">
      <c r="A33" s="13" t="s">
        <v>29</v>
      </c>
      <c r="B33" s="28">
        <v>206.11</v>
      </c>
      <c r="C33" s="19">
        <v>9.7000899999999995E-5</v>
      </c>
      <c r="D33" s="28" t="s">
        <v>42</v>
      </c>
    </row>
    <row r="34" spans="1:4" x14ac:dyDescent="0.2">
      <c r="A34" s="13" t="s">
        <v>29</v>
      </c>
      <c r="B34" s="28">
        <v>309.16500000000002</v>
      </c>
      <c r="C34" s="28">
        <v>2.6458800000000001E-4</v>
      </c>
      <c r="D34" s="28" t="s">
        <v>42</v>
      </c>
    </row>
    <row r="35" spans="1:4" x14ac:dyDescent="0.2">
      <c r="A35" s="13" t="s">
        <v>29</v>
      </c>
      <c r="B35" s="28">
        <v>309.16500000000002</v>
      </c>
      <c r="C35" s="28">
        <v>2.0224699999999999E-4</v>
      </c>
      <c r="D35" s="28" t="s">
        <v>42</v>
      </c>
    </row>
    <row r="36" spans="1:4" x14ac:dyDescent="0.2">
      <c r="A36" s="13" t="s">
        <v>29</v>
      </c>
      <c r="B36" s="28">
        <v>412.22</v>
      </c>
      <c r="C36" s="28">
        <v>3.1311199999999999E-4</v>
      </c>
      <c r="D36" s="28" t="s">
        <v>42</v>
      </c>
    </row>
    <row r="37" spans="1:4" x14ac:dyDescent="0.2">
      <c r="A37" s="13" t="s">
        <v>29</v>
      </c>
      <c r="B37" s="28">
        <v>412.22</v>
      </c>
      <c r="C37" s="28">
        <v>2.9705299999999998E-4</v>
      </c>
      <c r="D37" s="28" t="s">
        <v>42</v>
      </c>
    </row>
    <row r="38" spans="1:4" x14ac:dyDescent="0.2">
      <c r="A38" s="13" t="s">
        <v>29</v>
      </c>
      <c r="B38" s="28">
        <v>515.27499999999998</v>
      </c>
      <c r="C38" s="28">
        <v>3.8438900000000001E-4</v>
      </c>
      <c r="D38" s="28" t="s">
        <v>42</v>
      </c>
    </row>
    <row r="39" spans="1:4" x14ac:dyDescent="0.2">
      <c r="A39" s="13" t="s">
        <v>29</v>
      </c>
      <c r="B39" s="28">
        <v>515.27499999999998</v>
      </c>
      <c r="C39" s="28">
        <v>3.3959399999999997E-4</v>
      </c>
      <c r="D39" s="28" t="s">
        <v>42</v>
      </c>
    </row>
    <row r="40" spans="1:4" x14ac:dyDescent="0.2">
      <c r="A40" s="13" t="s">
        <v>29</v>
      </c>
      <c r="B40" s="28">
        <v>618.33000000000004</v>
      </c>
      <c r="C40" s="28">
        <v>4.2252899999999999E-4</v>
      </c>
      <c r="D40" s="28" t="s">
        <v>42</v>
      </c>
    </row>
    <row r="41" spans="1:4" x14ac:dyDescent="0.2">
      <c r="A41" s="13" t="s">
        <v>29</v>
      </c>
      <c r="B41" s="28">
        <v>618.33000000000004</v>
      </c>
      <c r="C41" s="28">
        <v>3.5453200000000001E-4</v>
      </c>
      <c r="D41" s="28" t="s">
        <v>42</v>
      </c>
    </row>
    <row r="42" spans="1:4" x14ac:dyDescent="0.2">
      <c r="A42" s="13" t="s">
        <v>29</v>
      </c>
      <c r="B42" s="28">
        <v>721.38499999999999</v>
      </c>
      <c r="C42" s="28">
        <v>3.5863600000000001E-4</v>
      </c>
      <c r="D42" s="28" t="s">
        <v>42</v>
      </c>
    </row>
    <row r="43" spans="1:4" x14ac:dyDescent="0.2">
      <c r="A43" s="13" t="s">
        <v>29</v>
      </c>
      <c r="B43" s="28">
        <v>721.38499999999999</v>
      </c>
      <c r="C43" s="28">
        <v>3.64829E-4</v>
      </c>
      <c r="D43" s="28" t="s">
        <v>42</v>
      </c>
    </row>
    <row r="44" spans="1:4" x14ac:dyDescent="0.2">
      <c r="A44" s="13" t="s">
        <v>29</v>
      </c>
      <c r="B44" s="28">
        <v>824.44</v>
      </c>
      <c r="C44" s="28">
        <v>4.0309500000000002E-4</v>
      </c>
      <c r="D44" s="28" t="s">
        <v>42</v>
      </c>
    </row>
    <row r="45" spans="1:4" x14ac:dyDescent="0.2">
      <c r="A45" s="13" t="s">
        <v>29</v>
      </c>
      <c r="B45" s="28">
        <v>824.44</v>
      </c>
      <c r="C45" s="28">
        <v>4.13843E-4</v>
      </c>
      <c r="D45" s="28" t="s">
        <v>42</v>
      </c>
    </row>
    <row r="46" spans="1:4" x14ac:dyDescent="0.2">
      <c r="A46" s="13" t="s">
        <v>29</v>
      </c>
      <c r="B46" s="28">
        <v>927.495</v>
      </c>
      <c r="C46" s="28">
        <v>3.9725600000000002E-4</v>
      </c>
      <c r="D46" s="28" t="s">
        <v>42</v>
      </c>
    </row>
    <row r="47" spans="1:4" x14ac:dyDescent="0.2">
      <c r="A47" s="13" t="s">
        <v>29</v>
      </c>
      <c r="B47" s="28">
        <v>927.495</v>
      </c>
      <c r="C47" s="28">
        <v>3.5811799999999999E-4</v>
      </c>
      <c r="D47" s="28" t="s">
        <v>42</v>
      </c>
    </row>
    <row r="48" spans="1:4" x14ac:dyDescent="0.2">
      <c r="A48" s="13" t="s">
        <v>29</v>
      </c>
      <c r="B48" s="28">
        <v>1030.55</v>
      </c>
      <c r="C48" s="28">
        <v>4.1562599999999999E-4</v>
      </c>
      <c r="D48" s="28" t="s">
        <v>42</v>
      </c>
    </row>
    <row r="49" spans="1:4" x14ac:dyDescent="0.2">
      <c r="A49" s="13" t="s">
        <v>29</v>
      </c>
      <c r="B49" s="28">
        <v>1030.55</v>
      </c>
      <c r="C49" s="28">
        <v>3.4593200000000002E-4</v>
      </c>
      <c r="D49" s="28" t="s">
        <v>42</v>
      </c>
    </row>
    <row r="50" spans="1:4" x14ac:dyDescent="0.2">
      <c r="A50" s="13" t="s">
        <v>29</v>
      </c>
      <c r="B50" s="28">
        <v>1236.6600000000001</v>
      </c>
      <c r="C50" s="28">
        <v>4.4688300000000002E-4</v>
      </c>
      <c r="D50" s="28" t="s">
        <v>42</v>
      </c>
    </row>
    <row r="51" spans="1:4" x14ac:dyDescent="0.2">
      <c r="A51" s="13" t="s">
        <v>29</v>
      </c>
      <c r="B51" s="28">
        <v>1236.6600000000001</v>
      </c>
      <c r="C51" s="28">
        <v>4.1151300000000002E-4</v>
      </c>
      <c r="D51" s="28" t="s">
        <v>42</v>
      </c>
    </row>
    <row r="52" spans="1:4" x14ac:dyDescent="0.2">
      <c r="A52" s="13" t="s">
        <v>29</v>
      </c>
      <c r="B52" s="28">
        <v>1442.77</v>
      </c>
      <c r="C52" s="28">
        <v>4.0881899999999999E-4</v>
      </c>
      <c r="D52" s="28" t="s">
        <v>42</v>
      </c>
    </row>
    <row r="53" spans="1:4" x14ac:dyDescent="0.2">
      <c r="A53" s="13" t="s">
        <v>29</v>
      </c>
      <c r="B53" s="28">
        <v>1442.77</v>
      </c>
      <c r="C53" s="28">
        <v>3.7363099999999997E-4</v>
      </c>
      <c r="D53" s="28" t="s">
        <v>42</v>
      </c>
    </row>
    <row r="54" spans="1:4" x14ac:dyDescent="0.2">
      <c r="A54" s="13" t="s">
        <v>29</v>
      </c>
      <c r="B54" s="28">
        <v>1648.88</v>
      </c>
      <c r="C54" s="28">
        <v>3.6404299999999998E-4</v>
      </c>
      <c r="D54" s="28" t="s">
        <v>42</v>
      </c>
    </row>
    <row r="55" spans="1:4" x14ac:dyDescent="0.2">
      <c r="A55" s="13" t="s">
        <v>29</v>
      </c>
      <c r="B55" s="28">
        <v>1648.88</v>
      </c>
      <c r="C55" s="28">
        <v>3.4382199999999998E-4</v>
      </c>
      <c r="D55" s="28" t="s">
        <v>42</v>
      </c>
    </row>
    <row r="56" spans="1:4" x14ac:dyDescent="0.2">
      <c r="A56" s="13" t="s">
        <v>29</v>
      </c>
      <c r="B56" s="28">
        <v>1854.99</v>
      </c>
      <c r="C56" s="28">
        <v>4.02798E-4</v>
      </c>
      <c r="D56" s="28" t="s">
        <v>42</v>
      </c>
    </row>
    <row r="57" spans="1:4" x14ac:dyDescent="0.2">
      <c r="A57" s="13" t="s">
        <v>29</v>
      </c>
      <c r="B57" s="28">
        <v>1854.99</v>
      </c>
      <c r="C57" s="28">
        <v>3.51195E-4</v>
      </c>
      <c r="D57" s="28" t="s">
        <v>42</v>
      </c>
    </row>
    <row r="58" spans="1:4" x14ac:dyDescent="0.2">
      <c r="A58" s="13" t="s">
        <v>29</v>
      </c>
      <c r="B58" s="28">
        <v>2061.1</v>
      </c>
      <c r="C58" s="28">
        <v>3.84523E-4</v>
      </c>
      <c r="D58" s="28" t="s">
        <v>42</v>
      </c>
    </row>
    <row r="59" spans="1:4" x14ac:dyDescent="0.2">
      <c r="A59" s="13" t="s">
        <v>29</v>
      </c>
      <c r="B59" s="28">
        <v>2061.1</v>
      </c>
      <c r="C59" s="28">
        <v>3.3409999999999999E-4</v>
      </c>
      <c r="D59" s="28" t="s">
        <v>42</v>
      </c>
    </row>
    <row r="60" spans="1:4" x14ac:dyDescent="0.2">
      <c r="A60" s="13" t="s">
        <v>29</v>
      </c>
      <c r="B60" s="28">
        <v>2267.21</v>
      </c>
      <c r="C60" s="28">
        <v>3.57303E-4</v>
      </c>
      <c r="D60" s="28" t="s">
        <v>42</v>
      </c>
    </row>
    <row r="61" spans="1:4" x14ac:dyDescent="0.2">
      <c r="A61" s="13" t="s">
        <v>29</v>
      </c>
      <c r="B61" s="28">
        <v>2267.21</v>
      </c>
      <c r="C61" s="28">
        <v>3.6692000000000002E-4</v>
      </c>
      <c r="D61" s="28" t="s">
        <v>42</v>
      </c>
    </row>
    <row r="62" spans="1:4" x14ac:dyDescent="0.2">
      <c r="A62" s="13" t="s">
        <v>29</v>
      </c>
      <c r="B62" s="28">
        <v>2679.43</v>
      </c>
      <c r="C62" s="28">
        <v>3.7375599999999999E-4</v>
      </c>
      <c r="D62" s="28" t="s">
        <v>42</v>
      </c>
    </row>
    <row r="63" spans="1:4" x14ac:dyDescent="0.2">
      <c r="A63" s="13" t="s">
        <v>29</v>
      </c>
      <c r="B63" s="28">
        <v>2679.43</v>
      </c>
      <c r="C63" s="28">
        <v>3.5237499999999999E-4</v>
      </c>
      <c r="D63" s="28" t="s">
        <v>42</v>
      </c>
    </row>
    <row r="64" spans="1:4" x14ac:dyDescent="0.2">
      <c r="A64" s="13" t="s">
        <v>29</v>
      </c>
      <c r="B64" s="28">
        <v>3091.65</v>
      </c>
      <c r="C64" s="28">
        <v>3.5939300000000001E-4</v>
      </c>
      <c r="D64" s="28" t="s">
        <v>42</v>
      </c>
    </row>
    <row r="65" spans="1:4" x14ac:dyDescent="0.2">
      <c r="A65" s="13" t="s">
        <v>29</v>
      </c>
      <c r="B65" s="28">
        <v>3091.65</v>
      </c>
      <c r="C65" s="28">
        <v>3.7769600000000001E-4</v>
      </c>
      <c r="D65" s="28" t="s">
        <v>42</v>
      </c>
    </row>
    <row r="66" spans="1:4" x14ac:dyDescent="0.2">
      <c r="A66" s="13" t="s">
        <v>29</v>
      </c>
      <c r="B66" s="28">
        <v>3503.87</v>
      </c>
      <c r="C66" s="28">
        <v>3.7154100000000003E-4</v>
      </c>
      <c r="D66" s="28" t="s">
        <v>42</v>
      </c>
    </row>
    <row r="67" spans="1:4" x14ac:dyDescent="0.2">
      <c r="A67" s="13" t="s">
        <v>29</v>
      </c>
      <c r="B67" s="28">
        <v>3503.87</v>
      </c>
      <c r="C67" s="28">
        <v>3.45817E-4</v>
      </c>
      <c r="D67" s="28" t="s">
        <v>42</v>
      </c>
    </row>
    <row r="68" spans="1:4" x14ac:dyDescent="0.2">
      <c r="A68" s="13" t="s">
        <v>29</v>
      </c>
      <c r="B68" s="28">
        <v>3916.09</v>
      </c>
      <c r="C68" s="28">
        <v>3.5719700000000002E-4</v>
      </c>
      <c r="D68" s="28" t="s">
        <v>42</v>
      </c>
    </row>
    <row r="69" spans="1:4" x14ac:dyDescent="0.2">
      <c r="A69" s="13" t="s">
        <v>29</v>
      </c>
      <c r="B69" s="28">
        <v>3916.09</v>
      </c>
      <c r="C69" s="28">
        <v>3.6427299999999997E-4</v>
      </c>
      <c r="D69" s="28" t="s">
        <v>42</v>
      </c>
    </row>
    <row r="70" spans="1:4" x14ac:dyDescent="0.2">
      <c r="A70" s="13" t="s">
        <v>29</v>
      </c>
      <c r="B70" s="28">
        <v>4328.3100000000004</v>
      </c>
      <c r="C70" s="28">
        <v>3.5852099999999999E-4</v>
      </c>
      <c r="D70" s="28" t="s">
        <v>42</v>
      </c>
    </row>
    <row r="71" spans="1:4" x14ac:dyDescent="0.2">
      <c r="A71" s="13" t="s">
        <v>29</v>
      </c>
      <c r="B71" s="28">
        <v>4328.3100000000004</v>
      </c>
      <c r="C71" s="28">
        <v>3.2845299999999998E-4</v>
      </c>
      <c r="D71" s="28" t="s">
        <v>42</v>
      </c>
    </row>
    <row r="72" spans="1:4" x14ac:dyDescent="0.2">
      <c r="A72" s="13" t="s">
        <v>29</v>
      </c>
      <c r="B72" s="28">
        <v>4740.53</v>
      </c>
      <c r="C72" s="28">
        <v>3.8276800000000002E-4</v>
      </c>
      <c r="D72" s="28" t="s">
        <v>42</v>
      </c>
    </row>
    <row r="73" spans="1:4" x14ac:dyDescent="0.2">
      <c r="A73" s="13" t="s">
        <v>29</v>
      </c>
      <c r="B73" s="28">
        <v>4740.53</v>
      </c>
      <c r="C73" s="28">
        <v>3.6044799999999998E-4</v>
      </c>
      <c r="D73" s="28" t="s">
        <v>42</v>
      </c>
    </row>
    <row r="74" spans="1:4" x14ac:dyDescent="0.2">
      <c r="A74" s="13" t="s">
        <v>29</v>
      </c>
      <c r="B74" s="28">
        <v>5152.75</v>
      </c>
      <c r="C74" s="28">
        <v>3.9650800000000001E-4</v>
      </c>
      <c r="D74" s="28" t="s">
        <v>42</v>
      </c>
    </row>
    <row r="75" spans="1:4" x14ac:dyDescent="0.2">
      <c r="A75" s="13" t="s">
        <v>29</v>
      </c>
      <c r="B75" s="28">
        <v>5152.75</v>
      </c>
      <c r="C75" s="28">
        <v>3.3208700000000001E-4</v>
      </c>
      <c r="D75" s="28" t="s">
        <v>42</v>
      </c>
    </row>
    <row r="76" spans="1:4" x14ac:dyDescent="0.2">
      <c r="A76" s="13" t="s">
        <v>29</v>
      </c>
      <c r="B76" s="28">
        <v>0</v>
      </c>
      <c r="C76" s="19">
        <v>6.3939800000000004E-6</v>
      </c>
      <c r="D76" s="28" t="s">
        <v>43</v>
      </c>
    </row>
    <row r="77" spans="1:4" x14ac:dyDescent="0.2">
      <c r="A77" s="13" t="s">
        <v>29</v>
      </c>
      <c r="B77" s="28">
        <v>51.527500000000003</v>
      </c>
      <c r="C77" s="19">
        <v>5.1093899999999999E-6</v>
      </c>
      <c r="D77" s="28" t="s">
        <v>43</v>
      </c>
    </row>
    <row r="78" spans="1:4" x14ac:dyDescent="0.2">
      <c r="A78" s="13" t="s">
        <v>29</v>
      </c>
      <c r="B78" s="28">
        <v>103.05500000000001</v>
      </c>
      <c r="C78" s="19">
        <v>9.5716600000000008E-6</v>
      </c>
      <c r="D78" s="28" t="s">
        <v>43</v>
      </c>
    </row>
    <row r="79" spans="1:4" x14ac:dyDescent="0.2">
      <c r="A79" s="13" t="s">
        <v>29</v>
      </c>
      <c r="B79" s="28">
        <v>103.05500000000001</v>
      </c>
      <c r="C79" s="19">
        <v>4.3270399999999997E-6</v>
      </c>
      <c r="D79" s="28" t="s">
        <v>43</v>
      </c>
    </row>
    <row r="80" spans="1:4" x14ac:dyDescent="0.2">
      <c r="A80" s="13" t="s">
        <v>29</v>
      </c>
      <c r="B80" s="28">
        <v>154.58250000000001</v>
      </c>
      <c r="C80" s="19">
        <v>1.9066E-5</v>
      </c>
      <c r="D80" s="28" t="s">
        <v>43</v>
      </c>
    </row>
    <row r="81" spans="1:4" x14ac:dyDescent="0.2">
      <c r="A81" s="13" t="s">
        <v>29</v>
      </c>
      <c r="B81" s="28">
        <v>154.58250000000001</v>
      </c>
      <c r="C81" s="19">
        <v>7.9296999999999997E-6</v>
      </c>
      <c r="D81" s="28" t="s">
        <v>43</v>
      </c>
    </row>
    <row r="82" spans="1:4" x14ac:dyDescent="0.2">
      <c r="A82" s="13" t="s">
        <v>29</v>
      </c>
      <c r="B82" s="28">
        <v>206.11</v>
      </c>
      <c r="C82" s="19">
        <v>2.95746E-5</v>
      </c>
      <c r="D82" s="28" t="s">
        <v>43</v>
      </c>
    </row>
    <row r="83" spans="1:4" x14ac:dyDescent="0.2">
      <c r="A83" s="13" t="s">
        <v>29</v>
      </c>
      <c r="B83" s="28">
        <v>206.11</v>
      </c>
      <c r="C83" s="19">
        <v>1.10687E-5</v>
      </c>
      <c r="D83" s="28" t="s">
        <v>43</v>
      </c>
    </row>
    <row r="84" spans="1:4" x14ac:dyDescent="0.2">
      <c r="A84" s="13" t="s">
        <v>29</v>
      </c>
      <c r="B84" s="28">
        <v>309.16500000000002</v>
      </c>
      <c r="C84" s="19">
        <v>6.2452400000000005E-5</v>
      </c>
      <c r="D84" s="28" t="s">
        <v>43</v>
      </c>
    </row>
    <row r="85" spans="1:4" x14ac:dyDescent="0.2">
      <c r="A85" s="13" t="s">
        <v>29</v>
      </c>
      <c r="B85" s="28">
        <v>309.16500000000002</v>
      </c>
      <c r="C85" s="19">
        <v>3.1458000000000003E-5</v>
      </c>
      <c r="D85" s="28" t="s">
        <v>43</v>
      </c>
    </row>
    <row r="86" spans="1:4" x14ac:dyDescent="0.2">
      <c r="A86" s="13" t="s">
        <v>29</v>
      </c>
      <c r="B86" s="28">
        <v>412.22</v>
      </c>
      <c r="C86" s="19">
        <v>9.8111900000000005E-5</v>
      </c>
      <c r="D86" s="28" t="s">
        <v>43</v>
      </c>
    </row>
    <row r="87" spans="1:4" x14ac:dyDescent="0.2">
      <c r="A87" s="13" t="s">
        <v>29</v>
      </c>
      <c r="B87" s="28">
        <v>412.22</v>
      </c>
      <c r="C87" s="19">
        <v>5.8183300000000002E-5</v>
      </c>
      <c r="D87" s="28" t="s">
        <v>43</v>
      </c>
    </row>
    <row r="88" spans="1:4" x14ac:dyDescent="0.2">
      <c r="A88" s="13" t="s">
        <v>29</v>
      </c>
      <c r="B88" s="28">
        <v>515.27499999999998</v>
      </c>
      <c r="C88" s="28">
        <v>1.05617E-4</v>
      </c>
      <c r="D88" s="28" t="s">
        <v>43</v>
      </c>
    </row>
    <row r="89" spans="1:4" x14ac:dyDescent="0.2">
      <c r="A89" s="13" t="s">
        <v>29</v>
      </c>
      <c r="B89" s="28">
        <v>515.27499999999998</v>
      </c>
      <c r="C89" s="28">
        <v>1.2146600000000001E-4</v>
      </c>
      <c r="D89" s="28" t="s">
        <v>43</v>
      </c>
    </row>
    <row r="90" spans="1:4" x14ac:dyDescent="0.2">
      <c r="A90" s="13" t="s">
        <v>29</v>
      </c>
      <c r="B90" s="28">
        <v>618.33000000000004</v>
      </c>
      <c r="C90" s="28">
        <v>1.50896E-4</v>
      </c>
      <c r="D90" s="28" t="s">
        <v>43</v>
      </c>
    </row>
    <row r="91" spans="1:4" x14ac:dyDescent="0.2">
      <c r="A91" s="13" t="s">
        <v>29</v>
      </c>
      <c r="B91" s="28">
        <v>618.33000000000004</v>
      </c>
      <c r="C91" s="28">
        <v>1.5221899999999999E-4</v>
      </c>
      <c r="D91" s="28" t="s">
        <v>43</v>
      </c>
    </row>
    <row r="92" spans="1:4" x14ac:dyDescent="0.2">
      <c r="A92" s="13" t="s">
        <v>29</v>
      </c>
      <c r="B92" s="28">
        <v>721.38499999999999</v>
      </c>
      <c r="C92" s="28">
        <v>1.65558E-4</v>
      </c>
      <c r="D92" s="28" t="s">
        <v>43</v>
      </c>
    </row>
    <row r="93" spans="1:4" x14ac:dyDescent="0.2">
      <c r="A93" s="13" t="s">
        <v>29</v>
      </c>
      <c r="B93" s="28">
        <v>721.38499999999999</v>
      </c>
      <c r="C93" s="28">
        <v>1.88825E-4</v>
      </c>
      <c r="D93" s="28" t="s">
        <v>43</v>
      </c>
    </row>
    <row r="94" spans="1:4" x14ac:dyDescent="0.2">
      <c r="A94" s="13" t="s">
        <v>29</v>
      </c>
      <c r="B94" s="28">
        <v>824.44</v>
      </c>
      <c r="C94" s="28">
        <v>2.3015399999999999E-4</v>
      </c>
      <c r="D94" s="28" t="s">
        <v>43</v>
      </c>
    </row>
    <row r="95" spans="1:4" x14ac:dyDescent="0.2">
      <c r="A95" s="13" t="s">
        <v>29</v>
      </c>
      <c r="B95" s="28">
        <v>824.44</v>
      </c>
      <c r="C95" s="28">
        <v>2.4648699999999999E-4</v>
      </c>
      <c r="D95" s="28" t="s">
        <v>43</v>
      </c>
    </row>
    <row r="96" spans="1:4" x14ac:dyDescent="0.2">
      <c r="A96" s="13" t="s">
        <v>29</v>
      </c>
      <c r="B96" s="28">
        <v>927.495</v>
      </c>
      <c r="C96" s="28">
        <v>2.7330900000000001E-4</v>
      </c>
      <c r="D96" s="28" t="s">
        <v>43</v>
      </c>
    </row>
    <row r="97" spans="1:4" x14ac:dyDescent="0.2">
      <c r="A97" s="13" t="s">
        <v>29</v>
      </c>
      <c r="B97" s="28">
        <v>927.495</v>
      </c>
      <c r="C97" s="28">
        <v>2.5232999999999999E-4</v>
      </c>
      <c r="D97" s="28" t="s">
        <v>43</v>
      </c>
    </row>
    <row r="98" spans="1:4" x14ac:dyDescent="0.2">
      <c r="A98" s="13" t="s">
        <v>29</v>
      </c>
      <c r="B98" s="28">
        <v>1030.55</v>
      </c>
      <c r="C98" s="28">
        <v>3.3351099999999999E-4</v>
      </c>
      <c r="D98" s="28" t="s">
        <v>43</v>
      </c>
    </row>
    <row r="99" spans="1:4" x14ac:dyDescent="0.2">
      <c r="A99" s="13" t="s">
        <v>29</v>
      </c>
      <c r="B99" s="28">
        <v>1030.55</v>
      </c>
      <c r="C99" s="28">
        <v>2.6143899999999997E-4</v>
      </c>
      <c r="D99" s="28" t="s">
        <v>43</v>
      </c>
    </row>
    <row r="100" spans="1:4" x14ac:dyDescent="0.2">
      <c r="A100" s="13" t="s">
        <v>29</v>
      </c>
      <c r="B100" s="28">
        <v>1236.6600000000001</v>
      </c>
      <c r="C100" s="28">
        <v>4.2609800000000003E-4</v>
      </c>
      <c r="D100" s="28" t="s">
        <v>43</v>
      </c>
    </row>
    <row r="101" spans="1:4" x14ac:dyDescent="0.2">
      <c r="A101" s="13" t="s">
        <v>29</v>
      </c>
      <c r="B101" s="28">
        <v>1236.6600000000001</v>
      </c>
      <c r="C101" s="28">
        <v>3.0946100000000002E-4</v>
      </c>
      <c r="D101" s="28" t="s">
        <v>43</v>
      </c>
    </row>
    <row r="102" spans="1:4" x14ac:dyDescent="0.2">
      <c r="A102" s="13" t="s">
        <v>29</v>
      </c>
      <c r="B102" s="28">
        <v>1442.77</v>
      </c>
      <c r="C102" s="28">
        <v>4.3102400000000001E-4</v>
      </c>
      <c r="D102" s="28" t="s">
        <v>43</v>
      </c>
    </row>
    <row r="103" spans="1:4" x14ac:dyDescent="0.2">
      <c r="A103" s="13" t="s">
        <v>29</v>
      </c>
      <c r="B103" s="28">
        <v>1442.77</v>
      </c>
      <c r="C103" s="28">
        <v>3.6843599999999998E-4</v>
      </c>
      <c r="D103" s="28" t="s">
        <v>43</v>
      </c>
    </row>
    <row r="104" spans="1:4" x14ac:dyDescent="0.2">
      <c r="A104" s="13" t="s">
        <v>29</v>
      </c>
      <c r="B104" s="28">
        <v>1648.88</v>
      </c>
      <c r="C104" s="28">
        <v>3.8849700000000002E-4</v>
      </c>
      <c r="D104" s="28" t="s">
        <v>43</v>
      </c>
    </row>
    <row r="105" spans="1:4" x14ac:dyDescent="0.2">
      <c r="A105" s="13" t="s">
        <v>29</v>
      </c>
      <c r="B105" s="28">
        <v>1648.88</v>
      </c>
      <c r="C105" s="28">
        <v>3.6799199999999998E-4</v>
      </c>
      <c r="D105" s="28" t="s">
        <v>43</v>
      </c>
    </row>
    <row r="106" spans="1:4" x14ac:dyDescent="0.2">
      <c r="A106" s="13" t="s">
        <v>29</v>
      </c>
      <c r="B106" s="28">
        <v>1854.99</v>
      </c>
      <c r="C106" s="28">
        <v>4.3312899999999998E-4</v>
      </c>
      <c r="D106" s="28" t="s">
        <v>43</v>
      </c>
    </row>
    <row r="107" spans="1:4" x14ac:dyDescent="0.2">
      <c r="A107" s="13" t="s">
        <v>29</v>
      </c>
      <c r="B107" s="28">
        <v>1854.99</v>
      </c>
      <c r="C107" s="28">
        <v>3.7826899999999998E-4</v>
      </c>
      <c r="D107" s="28" t="s">
        <v>43</v>
      </c>
    </row>
    <row r="108" spans="1:4" x14ac:dyDescent="0.2">
      <c r="A108" s="13" t="s">
        <v>29</v>
      </c>
      <c r="B108" s="28">
        <v>2061.1</v>
      </c>
      <c r="C108" s="28">
        <v>4.3159399999999999E-4</v>
      </c>
      <c r="D108" s="28" t="s">
        <v>43</v>
      </c>
    </row>
    <row r="109" spans="1:4" x14ac:dyDescent="0.2">
      <c r="A109" s="13" t="s">
        <v>29</v>
      </c>
      <c r="B109" s="28">
        <v>2061.1</v>
      </c>
      <c r="C109" s="28">
        <v>3.41489E-4</v>
      </c>
      <c r="D109" s="28" t="s">
        <v>43</v>
      </c>
    </row>
    <row r="110" spans="1:4" x14ac:dyDescent="0.2">
      <c r="A110" s="13" t="s">
        <v>29</v>
      </c>
      <c r="B110" s="28">
        <v>2267.21</v>
      </c>
      <c r="C110" s="28">
        <v>3.7553499999999997E-4</v>
      </c>
      <c r="D110" s="28" t="s">
        <v>43</v>
      </c>
    </row>
    <row r="111" spans="1:4" x14ac:dyDescent="0.2">
      <c r="A111" s="13" t="s">
        <v>29</v>
      </c>
      <c r="B111" s="28">
        <v>2267.21</v>
      </c>
      <c r="C111" s="28">
        <v>3.8794699999999998E-4</v>
      </c>
      <c r="D111" s="28" t="s">
        <v>43</v>
      </c>
    </row>
    <row r="112" spans="1:4" x14ac:dyDescent="0.2">
      <c r="A112" s="13" t="s">
        <v>29</v>
      </c>
      <c r="B112" s="28">
        <v>2679.43</v>
      </c>
      <c r="C112" s="28">
        <v>3.9509400000000002E-4</v>
      </c>
      <c r="D112" s="28" t="s">
        <v>43</v>
      </c>
    </row>
    <row r="113" spans="1:4" x14ac:dyDescent="0.2">
      <c r="A113" s="13" t="s">
        <v>29</v>
      </c>
      <c r="B113" s="28">
        <v>2679.43</v>
      </c>
      <c r="C113" s="28">
        <v>3.6748999999999999E-4</v>
      </c>
      <c r="D113" s="28" t="s">
        <v>43</v>
      </c>
    </row>
    <row r="114" spans="1:4" x14ac:dyDescent="0.2">
      <c r="A114" s="13" t="s">
        <v>29</v>
      </c>
      <c r="B114" s="28">
        <v>3091.65</v>
      </c>
      <c r="C114" s="28">
        <v>3.74531E-4</v>
      </c>
      <c r="D114" s="28" t="s">
        <v>43</v>
      </c>
    </row>
    <row r="115" spans="1:4" x14ac:dyDescent="0.2">
      <c r="A115" s="13" t="s">
        <v>29</v>
      </c>
      <c r="B115" s="28">
        <v>3091.65</v>
      </c>
      <c r="C115" s="28">
        <v>3.7878100000000002E-4</v>
      </c>
      <c r="D115" s="28" t="s">
        <v>43</v>
      </c>
    </row>
    <row r="116" spans="1:4" x14ac:dyDescent="0.2">
      <c r="A116" s="13" t="s">
        <v>29</v>
      </c>
      <c r="B116" s="28">
        <v>3503.87</v>
      </c>
      <c r="C116" s="28">
        <v>3.7992000000000001E-4</v>
      </c>
      <c r="D116" s="28" t="s">
        <v>43</v>
      </c>
    </row>
    <row r="117" spans="1:4" x14ac:dyDescent="0.2">
      <c r="A117" s="13" t="s">
        <v>29</v>
      </c>
      <c r="B117" s="28">
        <v>3503.87</v>
      </c>
      <c r="C117" s="28">
        <v>3.51601E-4</v>
      </c>
      <c r="D117" s="28" t="s">
        <v>43</v>
      </c>
    </row>
    <row r="118" spans="1:4" x14ac:dyDescent="0.2">
      <c r="A118" s="13" t="s">
        <v>29</v>
      </c>
      <c r="B118" s="28">
        <v>3916.09</v>
      </c>
      <c r="C118" s="28">
        <v>3.6664E-4</v>
      </c>
      <c r="D118" s="28" t="s">
        <v>43</v>
      </c>
    </row>
    <row r="119" spans="1:4" x14ac:dyDescent="0.2">
      <c r="A119" s="13" t="s">
        <v>29</v>
      </c>
      <c r="B119" s="28">
        <v>3916.09</v>
      </c>
      <c r="C119" s="28">
        <v>3.5815E-4</v>
      </c>
      <c r="D119" s="28" t="s">
        <v>43</v>
      </c>
    </row>
    <row r="120" spans="1:4" x14ac:dyDescent="0.2">
      <c r="A120" s="13" t="s">
        <v>29</v>
      </c>
      <c r="B120" s="28">
        <v>4328.3100000000004</v>
      </c>
      <c r="C120" s="28">
        <v>3.70706E-4</v>
      </c>
      <c r="D120" s="28" t="s">
        <v>43</v>
      </c>
    </row>
    <row r="121" spans="1:4" x14ac:dyDescent="0.2">
      <c r="A121" s="13" t="s">
        <v>29</v>
      </c>
      <c r="B121" s="28">
        <v>4328.3100000000004</v>
      </c>
      <c r="C121" s="28">
        <v>3.1649199999999998E-4</v>
      </c>
      <c r="D121" s="28" t="s">
        <v>43</v>
      </c>
    </row>
    <row r="122" spans="1:4" x14ac:dyDescent="0.2">
      <c r="A122" s="13" t="s">
        <v>29</v>
      </c>
      <c r="B122" s="28">
        <v>4740.53</v>
      </c>
      <c r="C122" s="28">
        <v>3.6851400000000002E-4</v>
      </c>
      <c r="D122" s="28" t="s">
        <v>43</v>
      </c>
    </row>
    <row r="123" spans="1:4" x14ac:dyDescent="0.2">
      <c r="A123" s="13" t="s">
        <v>29</v>
      </c>
      <c r="B123" s="28">
        <v>4740.53</v>
      </c>
      <c r="C123" s="28">
        <v>3.4395200000000002E-4</v>
      </c>
      <c r="D123" s="28" t="s">
        <v>43</v>
      </c>
    </row>
    <row r="124" spans="1:4" x14ac:dyDescent="0.2">
      <c r="A124" s="13" t="s">
        <v>29</v>
      </c>
      <c r="B124" s="28">
        <v>5152.75</v>
      </c>
      <c r="C124" s="28">
        <v>3.5584100000000002E-4</v>
      </c>
      <c r="D124" s="28" t="s">
        <v>43</v>
      </c>
    </row>
    <row r="125" spans="1:4" x14ac:dyDescent="0.2">
      <c r="A125" s="13" t="s">
        <v>29</v>
      </c>
      <c r="B125" s="28">
        <v>5152.75</v>
      </c>
      <c r="C125" s="28">
        <v>3.2120599999999999E-4</v>
      </c>
      <c r="D125" s="28" t="s">
        <v>43</v>
      </c>
    </row>
    <row r="126" spans="1:4" x14ac:dyDescent="0.2">
      <c r="A126" s="13" t="s">
        <v>29</v>
      </c>
      <c r="B126" s="28">
        <v>0</v>
      </c>
      <c r="C126" s="19">
        <v>2.0659600000000001E-5</v>
      </c>
      <c r="D126" s="28" t="s">
        <v>44</v>
      </c>
    </row>
    <row r="127" spans="1:4" x14ac:dyDescent="0.2">
      <c r="A127" s="13" t="s">
        <v>29</v>
      </c>
      <c r="B127" s="28">
        <v>51.527500000000003</v>
      </c>
      <c r="C127" s="19">
        <v>2.4045300000000002E-5</v>
      </c>
      <c r="D127" s="28" t="s">
        <v>44</v>
      </c>
    </row>
    <row r="128" spans="1:4" x14ac:dyDescent="0.2">
      <c r="A128" s="13" t="s">
        <v>29</v>
      </c>
      <c r="B128" s="28">
        <v>103.05500000000001</v>
      </c>
      <c r="C128" s="19">
        <v>2.2510700000000001E-5</v>
      </c>
      <c r="D128" s="28" t="s">
        <v>44</v>
      </c>
    </row>
    <row r="129" spans="1:4" x14ac:dyDescent="0.2">
      <c r="A129" s="13" t="s">
        <v>29</v>
      </c>
      <c r="B129" s="28">
        <v>103.05500000000001</v>
      </c>
      <c r="C129" s="19">
        <v>1.3571600000000001E-5</v>
      </c>
      <c r="D129" s="28" t="s">
        <v>44</v>
      </c>
    </row>
    <row r="130" spans="1:4" x14ac:dyDescent="0.2">
      <c r="A130" s="13" t="s">
        <v>29</v>
      </c>
      <c r="B130" s="28">
        <v>154.58250000000001</v>
      </c>
      <c r="C130" s="19">
        <v>2.89752E-5</v>
      </c>
      <c r="D130" s="28" t="s">
        <v>44</v>
      </c>
    </row>
    <row r="131" spans="1:4" x14ac:dyDescent="0.2">
      <c r="A131" s="13" t="s">
        <v>29</v>
      </c>
      <c r="B131" s="28">
        <v>154.58250000000001</v>
      </c>
      <c r="C131" s="19">
        <v>1.60654E-5</v>
      </c>
      <c r="D131" s="28" t="s">
        <v>44</v>
      </c>
    </row>
    <row r="132" spans="1:4" x14ac:dyDescent="0.2">
      <c r="A132" s="13" t="s">
        <v>29</v>
      </c>
      <c r="B132" s="28">
        <v>206.11</v>
      </c>
      <c r="C132" s="19">
        <v>2.4553600000000002E-5</v>
      </c>
      <c r="D132" s="28" t="s">
        <v>44</v>
      </c>
    </row>
    <row r="133" spans="1:4" x14ac:dyDescent="0.2">
      <c r="A133" s="13" t="s">
        <v>29</v>
      </c>
      <c r="B133" s="28">
        <v>206.11</v>
      </c>
      <c r="C133" s="19">
        <v>1.7273900000000001E-5</v>
      </c>
      <c r="D133" s="28" t="s">
        <v>44</v>
      </c>
    </row>
    <row r="134" spans="1:4" x14ac:dyDescent="0.2">
      <c r="A134" s="13" t="s">
        <v>29</v>
      </c>
      <c r="B134" s="28">
        <v>309.16500000000002</v>
      </c>
      <c r="C134" s="19">
        <v>2.35561E-5</v>
      </c>
      <c r="D134" s="28" t="s">
        <v>44</v>
      </c>
    </row>
    <row r="135" spans="1:4" x14ac:dyDescent="0.2">
      <c r="A135" s="13" t="s">
        <v>29</v>
      </c>
      <c r="B135" s="28">
        <v>309.16500000000002</v>
      </c>
      <c r="C135" s="19">
        <v>2.49085E-5</v>
      </c>
      <c r="D135" s="28" t="s">
        <v>44</v>
      </c>
    </row>
    <row r="136" spans="1:4" x14ac:dyDescent="0.2">
      <c r="A136" s="13" t="s">
        <v>29</v>
      </c>
      <c r="B136" s="28">
        <v>412.22</v>
      </c>
      <c r="C136" s="19">
        <v>3.7444300000000003E-5</v>
      </c>
      <c r="D136" s="28" t="s">
        <v>44</v>
      </c>
    </row>
    <row r="137" spans="1:4" x14ac:dyDescent="0.2">
      <c r="A137" s="13" t="s">
        <v>29</v>
      </c>
      <c r="B137" s="28">
        <v>412.22</v>
      </c>
      <c r="C137" s="19">
        <v>1.98539E-5</v>
      </c>
      <c r="D137" s="28" t="s">
        <v>44</v>
      </c>
    </row>
    <row r="138" spans="1:4" x14ac:dyDescent="0.2">
      <c r="A138" s="13" t="s">
        <v>29</v>
      </c>
      <c r="B138" s="28">
        <v>515.27499999999998</v>
      </c>
      <c r="C138" s="19">
        <v>3.17567E-5</v>
      </c>
      <c r="D138" s="28" t="s">
        <v>44</v>
      </c>
    </row>
    <row r="139" spans="1:4" x14ac:dyDescent="0.2">
      <c r="A139" s="13" t="s">
        <v>29</v>
      </c>
      <c r="B139" s="28">
        <v>515.27499999999998</v>
      </c>
      <c r="C139" s="19">
        <v>4.1031400000000002E-5</v>
      </c>
      <c r="D139" s="28" t="s">
        <v>44</v>
      </c>
    </row>
    <row r="140" spans="1:4" x14ac:dyDescent="0.2">
      <c r="A140" s="13" t="s">
        <v>29</v>
      </c>
      <c r="B140" s="28">
        <v>618.33000000000004</v>
      </c>
      <c r="C140" s="19">
        <v>3.8154000000000001E-5</v>
      </c>
      <c r="D140" s="28" t="s">
        <v>44</v>
      </c>
    </row>
    <row r="141" spans="1:4" x14ac:dyDescent="0.2">
      <c r="A141" s="13" t="s">
        <v>29</v>
      </c>
      <c r="B141" s="28">
        <v>618.33000000000004</v>
      </c>
      <c r="C141" s="19">
        <v>4.8992200000000002E-5</v>
      </c>
      <c r="D141" s="28" t="s">
        <v>44</v>
      </c>
    </row>
    <row r="142" spans="1:4" x14ac:dyDescent="0.2">
      <c r="A142" s="13" t="s">
        <v>29</v>
      </c>
      <c r="B142" s="28">
        <v>721.38499999999999</v>
      </c>
      <c r="C142" s="19">
        <v>3.8806300000000001E-5</v>
      </c>
      <c r="D142" s="28" t="s">
        <v>44</v>
      </c>
    </row>
    <row r="143" spans="1:4" x14ac:dyDescent="0.2">
      <c r="A143" s="13" t="s">
        <v>29</v>
      </c>
      <c r="B143" s="28">
        <v>721.38499999999999</v>
      </c>
      <c r="C143" s="19">
        <v>6.1077199999999999E-5</v>
      </c>
      <c r="D143" s="28" t="s">
        <v>44</v>
      </c>
    </row>
    <row r="144" spans="1:4" x14ac:dyDescent="0.2">
      <c r="A144" s="13" t="s">
        <v>29</v>
      </c>
      <c r="B144" s="28">
        <v>824.44</v>
      </c>
      <c r="C144" s="19">
        <v>5.37782E-5</v>
      </c>
      <c r="D144" s="28" t="s">
        <v>44</v>
      </c>
    </row>
    <row r="145" spans="1:4" x14ac:dyDescent="0.2">
      <c r="A145" s="13" t="s">
        <v>29</v>
      </c>
      <c r="B145" s="28">
        <v>824.44</v>
      </c>
      <c r="C145" s="19">
        <v>8.0585800000000004E-5</v>
      </c>
      <c r="D145" s="28" t="s">
        <v>44</v>
      </c>
    </row>
    <row r="146" spans="1:4" x14ac:dyDescent="0.2">
      <c r="A146" s="13" t="s">
        <v>29</v>
      </c>
      <c r="B146" s="28">
        <v>927.495</v>
      </c>
      <c r="C146" s="19">
        <v>7.3037500000000007E-5</v>
      </c>
      <c r="D146" s="28" t="s">
        <v>44</v>
      </c>
    </row>
    <row r="147" spans="1:4" x14ac:dyDescent="0.2">
      <c r="A147" s="13" t="s">
        <v>29</v>
      </c>
      <c r="B147" s="28">
        <v>927.495</v>
      </c>
      <c r="C147" s="19">
        <v>9.0762100000000003E-5</v>
      </c>
      <c r="D147" s="28" t="s">
        <v>44</v>
      </c>
    </row>
    <row r="148" spans="1:4" x14ac:dyDescent="0.2">
      <c r="A148" s="13" t="s">
        <v>29</v>
      </c>
      <c r="B148" s="28">
        <v>1030.55</v>
      </c>
      <c r="C148" s="19">
        <v>8.8469799999999998E-5</v>
      </c>
      <c r="D148" s="28" t="s">
        <v>44</v>
      </c>
    </row>
    <row r="149" spans="1:4" x14ac:dyDescent="0.2">
      <c r="A149" s="13" t="s">
        <v>29</v>
      </c>
      <c r="B149" s="28">
        <v>1030.55</v>
      </c>
      <c r="C149" s="28">
        <v>1.00574E-4</v>
      </c>
      <c r="D149" s="28" t="s">
        <v>44</v>
      </c>
    </row>
    <row r="150" spans="1:4" x14ac:dyDescent="0.2">
      <c r="A150" s="13" t="s">
        <v>29</v>
      </c>
      <c r="B150" s="28">
        <v>1236.6600000000001</v>
      </c>
      <c r="C150" s="28">
        <v>1.3331899999999999E-4</v>
      </c>
      <c r="D150" s="28" t="s">
        <v>44</v>
      </c>
    </row>
    <row r="151" spans="1:4" x14ac:dyDescent="0.2">
      <c r="A151" s="13" t="s">
        <v>29</v>
      </c>
      <c r="B151" s="28">
        <v>1236.6600000000001</v>
      </c>
      <c r="C151" s="28">
        <v>1.19363E-4</v>
      </c>
      <c r="D151" s="28" t="s">
        <v>44</v>
      </c>
    </row>
    <row r="152" spans="1:4" x14ac:dyDescent="0.2">
      <c r="A152" s="13" t="s">
        <v>29</v>
      </c>
      <c r="B152" s="28">
        <v>1442.77</v>
      </c>
      <c r="C152" s="28">
        <v>1.5429500000000001E-4</v>
      </c>
      <c r="D152" s="28" t="s">
        <v>44</v>
      </c>
    </row>
    <row r="153" spans="1:4" x14ac:dyDescent="0.2">
      <c r="A153" s="13" t="s">
        <v>29</v>
      </c>
      <c r="B153" s="28">
        <v>1442.77</v>
      </c>
      <c r="C153" s="28">
        <v>1.7052300000000001E-4</v>
      </c>
      <c r="D153" s="28" t="s">
        <v>44</v>
      </c>
    </row>
    <row r="154" spans="1:4" x14ac:dyDescent="0.2">
      <c r="A154" s="13" t="s">
        <v>29</v>
      </c>
      <c r="B154" s="28">
        <v>1648.88</v>
      </c>
      <c r="C154" s="28">
        <v>1.8299200000000001E-4</v>
      </c>
      <c r="D154" s="28" t="s">
        <v>44</v>
      </c>
    </row>
    <row r="155" spans="1:4" x14ac:dyDescent="0.2">
      <c r="A155" s="13" t="s">
        <v>29</v>
      </c>
      <c r="B155" s="28">
        <v>1648.88</v>
      </c>
      <c r="C155" s="28">
        <v>1.8499599999999999E-4</v>
      </c>
      <c r="D155" s="28" t="s">
        <v>44</v>
      </c>
    </row>
    <row r="156" spans="1:4" x14ac:dyDescent="0.2">
      <c r="A156" s="13" t="s">
        <v>29</v>
      </c>
      <c r="B156" s="28">
        <v>1854.99</v>
      </c>
      <c r="C156" s="28">
        <v>2.41661E-4</v>
      </c>
      <c r="D156" s="28" t="s">
        <v>44</v>
      </c>
    </row>
    <row r="157" spans="1:4" x14ac:dyDescent="0.2">
      <c r="A157" s="13" t="s">
        <v>29</v>
      </c>
      <c r="B157" s="28">
        <v>1854.99</v>
      </c>
      <c r="C157" s="28">
        <v>2.2328499999999999E-4</v>
      </c>
      <c r="D157" s="28" t="s">
        <v>44</v>
      </c>
    </row>
    <row r="158" spans="1:4" x14ac:dyDescent="0.2">
      <c r="A158" s="13" t="s">
        <v>29</v>
      </c>
      <c r="B158" s="28">
        <v>2061.1</v>
      </c>
      <c r="C158" s="28">
        <v>2.7272800000000002E-4</v>
      </c>
      <c r="D158" s="28" t="s">
        <v>44</v>
      </c>
    </row>
    <row r="159" spans="1:4" x14ac:dyDescent="0.2">
      <c r="A159" s="13" t="s">
        <v>29</v>
      </c>
      <c r="B159" s="28">
        <v>2061.1</v>
      </c>
      <c r="C159" s="28">
        <v>2.4230399999999999E-4</v>
      </c>
      <c r="D159" s="28" t="s">
        <v>44</v>
      </c>
    </row>
    <row r="160" spans="1:4" x14ac:dyDescent="0.2">
      <c r="A160" s="13" t="s">
        <v>29</v>
      </c>
      <c r="B160" s="28">
        <v>2267.21</v>
      </c>
      <c r="C160" s="28">
        <v>2.8436200000000003E-4</v>
      </c>
      <c r="D160" s="28" t="s">
        <v>44</v>
      </c>
    </row>
    <row r="161" spans="1:4" x14ac:dyDescent="0.2">
      <c r="A161" s="13" t="s">
        <v>29</v>
      </c>
      <c r="B161" s="28">
        <v>2267.21</v>
      </c>
      <c r="C161" s="28">
        <v>2.9134400000000002E-4</v>
      </c>
      <c r="D161" s="28" t="s">
        <v>44</v>
      </c>
    </row>
    <row r="162" spans="1:4" x14ac:dyDescent="0.2">
      <c r="A162" s="13" t="s">
        <v>29</v>
      </c>
      <c r="B162" s="28">
        <v>2679.43</v>
      </c>
      <c r="C162" s="28">
        <v>3.7774199999999998E-4</v>
      </c>
      <c r="D162" s="28" t="s">
        <v>44</v>
      </c>
    </row>
    <row r="163" spans="1:4" x14ac:dyDescent="0.2">
      <c r="A163" s="13" t="s">
        <v>29</v>
      </c>
      <c r="B163" s="28">
        <v>2679.43</v>
      </c>
      <c r="C163" s="28">
        <v>3.36807E-4</v>
      </c>
      <c r="D163" s="28" t="s">
        <v>44</v>
      </c>
    </row>
    <row r="164" spans="1:4" x14ac:dyDescent="0.2">
      <c r="A164" s="13" t="s">
        <v>29</v>
      </c>
      <c r="B164" s="28">
        <v>3091.65</v>
      </c>
      <c r="C164" s="28">
        <v>3.8196200000000001E-4</v>
      </c>
      <c r="D164" s="28" t="s">
        <v>44</v>
      </c>
    </row>
    <row r="165" spans="1:4" x14ac:dyDescent="0.2">
      <c r="A165" s="13" t="s">
        <v>29</v>
      </c>
      <c r="B165" s="28">
        <v>3091.65</v>
      </c>
      <c r="C165" s="28">
        <v>3.8897399999999999E-4</v>
      </c>
      <c r="D165" s="28" t="s">
        <v>44</v>
      </c>
    </row>
    <row r="166" spans="1:4" x14ac:dyDescent="0.2">
      <c r="A166" s="13" t="s">
        <v>29</v>
      </c>
      <c r="B166" s="28">
        <v>3503.87</v>
      </c>
      <c r="C166" s="28">
        <v>4.4647300000000002E-4</v>
      </c>
      <c r="D166" s="28" t="s">
        <v>44</v>
      </c>
    </row>
    <row r="167" spans="1:4" x14ac:dyDescent="0.2">
      <c r="A167" s="13" t="s">
        <v>29</v>
      </c>
      <c r="B167" s="28">
        <v>3503.87</v>
      </c>
      <c r="C167" s="28">
        <v>3.9404700000000002E-4</v>
      </c>
      <c r="D167" s="28" t="s">
        <v>44</v>
      </c>
    </row>
    <row r="168" spans="1:4" x14ac:dyDescent="0.2">
      <c r="A168" s="13" t="s">
        <v>29</v>
      </c>
      <c r="B168" s="28">
        <v>3916.09</v>
      </c>
      <c r="C168" s="28">
        <v>4.2252400000000002E-4</v>
      </c>
      <c r="D168" s="28" t="s">
        <v>44</v>
      </c>
    </row>
    <row r="169" spans="1:4" x14ac:dyDescent="0.2">
      <c r="A169" s="13" t="s">
        <v>29</v>
      </c>
      <c r="B169" s="28">
        <v>3916.09</v>
      </c>
      <c r="C169" s="28">
        <v>4.13729E-4</v>
      </c>
      <c r="D169" s="28" t="s">
        <v>44</v>
      </c>
    </row>
    <row r="170" spans="1:4" x14ac:dyDescent="0.2">
      <c r="A170" s="13" t="s">
        <v>29</v>
      </c>
      <c r="B170" s="28">
        <v>4328.3100000000004</v>
      </c>
      <c r="C170" s="28">
        <v>4.1720100000000002E-4</v>
      </c>
      <c r="D170" s="28" t="s">
        <v>44</v>
      </c>
    </row>
    <row r="171" spans="1:4" x14ac:dyDescent="0.2">
      <c r="A171" s="13" t="s">
        <v>29</v>
      </c>
      <c r="B171" s="28">
        <v>4328.3100000000004</v>
      </c>
      <c r="C171" s="28">
        <v>3.7182399999999998E-4</v>
      </c>
      <c r="D171" s="28" t="s">
        <v>44</v>
      </c>
    </row>
    <row r="172" spans="1:4" x14ac:dyDescent="0.2">
      <c r="A172" s="13" t="s">
        <v>29</v>
      </c>
      <c r="B172" s="28">
        <v>4740.53</v>
      </c>
      <c r="C172" s="28">
        <v>4.2089299999999998E-4</v>
      </c>
      <c r="D172" s="28" t="s">
        <v>44</v>
      </c>
    </row>
    <row r="173" spans="1:4" x14ac:dyDescent="0.2">
      <c r="A173" s="13" t="s">
        <v>29</v>
      </c>
      <c r="B173" s="28">
        <v>4740.53</v>
      </c>
      <c r="C173" s="28">
        <v>3.8564600000000001E-4</v>
      </c>
      <c r="D173" s="28" t="s">
        <v>44</v>
      </c>
    </row>
    <row r="174" spans="1:4" x14ac:dyDescent="0.2">
      <c r="A174" s="13" t="s">
        <v>29</v>
      </c>
      <c r="B174" s="28">
        <v>5152.75</v>
      </c>
      <c r="C174" s="28">
        <v>3.8253799999999998E-4</v>
      </c>
      <c r="D174" s="28" t="s">
        <v>44</v>
      </c>
    </row>
    <row r="175" spans="1:4" x14ac:dyDescent="0.2">
      <c r="A175" s="13" t="s">
        <v>29</v>
      </c>
      <c r="B175" s="28">
        <v>5152.75</v>
      </c>
      <c r="C175" s="28">
        <v>3.5366800000000002E-4</v>
      </c>
      <c r="D175" s="28" t="s">
        <v>44</v>
      </c>
    </row>
    <row r="176" spans="1:4" x14ac:dyDescent="0.2">
      <c r="A176" s="13" t="s">
        <v>29</v>
      </c>
      <c r="B176" s="28">
        <v>0</v>
      </c>
      <c r="C176" s="19">
        <v>7.4124399999999998E-6</v>
      </c>
      <c r="D176" s="28" t="s">
        <v>45</v>
      </c>
    </row>
    <row r="177" spans="1:4" x14ac:dyDescent="0.2">
      <c r="A177" s="13" t="s">
        <v>29</v>
      </c>
      <c r="B177" s="28">
        <v>51.527500000000003</v>
      </c>
      <c r="C177" s="19">
        <v>8.4784E-6</v>
      </c>
      <c r="D177" s="28" t="s">
        <v>45</v>
      </c>
    </row>
    <row r="178" spans="1:4" x14ac:dyDescent="0.2">
      <c r="A178" s="13" t="s">
        <v>29</v>
      </c>
      <c r="B178" s="28">
        <v>103.05500000000001</v>
      </c>
      <c r="C178" s="19">
        <v>8.8633399999999997E-6</v>
      </c>
      <c r="D178" s="28" t="s">
        <v>45</v>
      </c>
    </row>
    <row r="179" spans="1:4" x14ac:dyDescent="0.2">
      <c r="A179" s="13" t="s">
        <v>29</v>
      </c>
      <c r="B179" s="28">
        <v>103.05500000000001</v>
      </c>
      <c r="C179" s="19">
        <v>5.3101100000000001E-6</v>
      </c>
      <c r="D179" s="28" t="s">
        <v>45</v>
      </c>
    </row>
    <row r="180" spans="1:4" x14ac:dyDescent="0.2">
      <c r="A180" s="13" t="s">
        <v>29</v>
      </c>
      <c r="B180" s="28">
        <v>154.58250000000001</v>
      </c>
      <c r="C180" s="19">
        <v>8.9620399999999993E-6</v>
      </c>
      <c r="D180" s="28" t="s">
        <v>45</v>
      </c>
    </row>
    <row r="181" spans="1:4" x14ac:dyDescent="0.2">
      <c r="A181" s="13" t="s">
        <v>29</v>
      </c>
      <c r="B181" s="28">
        <v>154.58250000000001</v>
      </c>
      <c r="C181" s="19">
        <v>5.83322E-6</v>
      </c>
      <c r="D181" s="28" t="s">
        <v>45</v>
      </c>
    </row>
    <row r="182" spans="1:4" x14ac:dyDescent="0.2">
      <c r="A182" s="13" t="s">
        <v>29</v>
      </c>
      <c r="B182" s="28">
        <v>206.11</v>
      </c>
      <c r="C182" s="19">
        <v>8.8534700000000005E-6</v>
      </c>
      <c r="D182" s="28" t="s">
        <v>45</v>
      </c>
    </row>
    <row r="183" spans="1:4" x14ac:dyDescent="0.2">
      <c r="A183" s="13" t="s">
        <v>29</v>
      </c>
      <c r="B183" s="28">
        <v>206.11</v>
      </c>
      <c r="C183" s="19">
        <v>6.6129599999999998E-6</v>
      </c>
      <c r="D183" s="28" t="s">
        <v>45</v>
      </c>
    </row>
    <row r="184" spans="1:4" x14ac:dyDescent="0.2">
      <c r="A184" s="13" t="s">
        <v>29</v>
      </c>
      <c r="B184" s="28">
        <v>309.16500000000002</v>
      </c>
      <c r="C184" s="19">
        <v>6.5932200000000004E-6</v>
      </c>
      <c r="D184" s="28" t="s">
        <v>45</v>
      </c>
    </row>
    <row r="185" spans="1:4" x14ac:dyDescent="0.2">
      <c r="A185" s="13" t="s">
        <v>29</v>
      </c>
      <c r="B185" s="28">
        <v>309.16500000000002</v>
      </c>
      <c r="C185" s="19">
        <v>5.8036099999999996E-6</v>
      </c>
      <c r="D185" s="28" t="s">
        <v>45</v>
      </c>
    </row>
    <row r="186" spans="1:4" x14ac:dyDescent="0.2">
      <c r="A186" s="13" t="s">
        <v>29</v>
      </c>
      <c r="B186" s="28">
        <v>412.22</v>
      </c>
      <c r="C186" s="19">
        <v>1.14296E-5</v>
      </c>
      <c r="D186" s="28" t="s">
        <v>45</v>
      </c>
    </row>
    <row r="187" spans="1:4" x14ac:dyDescent="0.2">
      <c r="A187" s="13" t="s">
        <v>29</v>
      </c>
      <c r="B187" s="28">
        <v>412.22</v>
      </c>
      <c r="C187" s="19">
        <v>6.9287999999999996E-6</v>
      </c>
      <c r="D187" s="28" t="s">
        <v>45</v>
      </c>
    </row>
    <row r="188" spans="1:4" x14ac:dyDescent="0.2">
      <c r="A188" s="13" t="s">
        <v>29</v>
      </c>
      <c r="B188" s="28">
        <v>515.27499999999998</v>
      </c>
      <c r="C188" s="19">
        <v>7.8664600000000006E-6</v>
      </c>
      <c r="D188" s="28" t="s">
        <v>45</v>
      </c>
    </row>
    <row r="189" spans="1:4" x14ac:dyDescent="0.2">
      <c r="A189" s="13" t="s">
        <v>29</v>
      </c>
      <c r="B189" s="28">
        <v>515.27499999999998</v>
      </c>
      <c r="C189" s="19">
        <v>1.17849E-5</v>
      </c>
      <c r="D189" s="28" t="s">
        <v>45</v>
      </c>
    </row>
    <row r="190" spans="1:4" x14ac:dyDescent="0.2">
      <c r="A190" s="13" t="s">
        <v>29</v>
      </c>
      <c r="B190" s="28">
        <v>618.33000000000004</v>
      </c>
      <c r="C190" s="19">
        <v>9.6233300000000002E-6</v>
      </c>
      <c r="D190" s="28" t="s">
        <v>45</v>
      </c>
    </row>
    <row r="191" spans="1:4" x14ac:dyDescent="0.2">
      <c r="A191" s="13" t="s">
        <v>29</v>
      </c>
      <c r="B191" s="28">
        <v>618.33000000000004</v>
      </c>
      <c r="C191" s="19">
        <v>1.26633E-5</v>
      </c>
      <c r="D191" s="28" t="s">
        <v>45</v>
      </c>
    </row>
    <row r="192" spans="1:4" x14ac:dyDescent="0.2">
      <c r="A192" s="13" t="s">
        <v>29</v>
      </c>
      <c r="B192" s="28">
        <v>721.38499999999999</v>
      </c>
      <c r="C192" s="19">
        <v>8.1921700000000005E-6</v>
      </c>
      <c r="D192" s="28" t="s">
        <v>45</v>
      </c>
    </row>
    <row r="193" spans="1:4" x14ac:dyDescent="0.2">
      <c r="A193" s="13" t="s">
        <v>29</v>
      </c>
      <c r="B193" s="28">
        <v>721.38499999999999</v>
      </c>
      <c r="C193" s="19">
        <v>1.5821700000000001E-5</v>
      </c>
      <c r="D193" s="28" t="s">
        <v>45</v>
      </c>
    </row>
    <row r="194" spans="1:4" x14ac:dyDescent="0.2">
      <c r="A194" s="13" t="s">
        <v>29</v>
      </c>
      <c r="B194" s="28">
        <v>824.44</v>
      </c>
      <c r="C194" s="19">
        <v>1.1478899999999999E-5</v>
      </c>
      <c r="D194" s="28" t="s">
        <v>45</v>
      </c>
    </row>
    <row r="195" spans="1:4" x14ac:dyDescent="0.2">
      <c r="A195" s="13" t="s">
        <v>29</v>
      </c>
      <c r="B195" s="28">
        <v>824.44</v>
      </c>
      <c r="C195" s="19">
        <v>2.1812899999999999E-5</v>
      </c>
      <c r="D195" s="28" t="s">
        <v>45</v>
      </c>
    </row>
    <row r="196" spans="1:4" x14ac:dyDescent="0.2">
      <c r="A196" s="13" t="s">
        <v>29</v>
      </c>
      <c r="B196" s="28">
        <v>927.495</v>
      </c>
      <c r="C196" s="19">
        <v>1.55553E-5</v>
      </c>
      <c r="D196" s="28" t="s">
        <v>45</v>
      </c>
    </row>
    <row r="197" spans="1:4" x14ac:dyDescent="0.2">
      <c r="A197" s="13" t="s">
        <v>29</v>
      </c>
      <c r="B197" s="28">
        <v>927.495</v>
      </c>
      <c r="C197" s="19">
        <v>2.2434700000000001E-5</v>
      </c>
      <c r="D197" s="28" t="s">
        <v>45</v>
      </c>
    </row>
    <row r="198" spans="1:4" x14ac:dyDescent="0.2">
      <c r="A198" s="13" t="s">
        <v>29</v>
      </c>
      <c r="B198" s="28">
        <v>1030.55</v>
      </c>
      <c r="C198" s="19">
        <v>1.75194E-5</v>
      </c>
      <c r="D198" s="28" t="s">
        <v>45</v>
      </c>
    </row>
    <row r="199" spans="1:4" x14ac:dyDescent="0.2">
      <c r="A199" s="13" t="s">
        <v>29</v>
      </c>
      <c r="B199" s="28">
        <v>1030.55</v>
      </c>
      <c r="C199" s="19">
        <v>2.7221700000000001E-5</v>
      </c>
      <c r="D199" s="28" t="s">
        <v>45</v>
      </c>
    </row>
    <row r="200" spans="1:4" x14ac:dyDescent="0.2">
      <c r="A200" s="13" t="s">
        <v>29</v>
      </c>
      <c r="B200" s="28">
        <v>1236.6600000000001</v>
      </c>
      <c r="C200" s="19">
        <v>2.54352E-5</v>
      </c>
      <c r="D200" s="28" t="s">
        <v>45</v>
      </c>
    </row>
    <row r="201" spans="1:4" x14ac:dyDescent="0.2">
      <c r="A201" s="13" t="s">
        <v>29</v>
      </c>
      <c r="B201" s="28">
        <v>1236.6600000000001</v>
      </c>
      <c r="C201" s="19">
        <v>3.2788399999999999E-5</v>
      </c>
      <c r="D201" s="28" t="s">
        <v>45</v>
      </c>
    </row>
    <row r="202" spans="1:4" x14ac:dyDescent="0.2">
      <c r="A202" s="13" t="s">
        <v>29</v>
      </c>
      <c r="B202" s="28">
        <v>1442.77</v>
      </c>
      <c r="C202" s="19">
        <v>3.2985799999999998E-5</v>
      </c>
      <c r="D202" s="28" t="s">
        <v>45</v>
      </c>
    </row>
    <row r="203" spans="1:4" x14ac:dyDescent="0.2">
      <c r="A203" s="13" t="s">
        <v>29</v>
      </c>
      <c r="B203" s="28">
        <v>1442.77</v>
      </c>
      <c r="C203" s="19">
        <v>5.0485500000000003E-5</v>
      </c>
      <c r="D203" s="28" t="s">
        <v>45</v>
      </c>
    </row>
    <row r="204" spans="1:4" x14ac:dyDescent="0.2">
      <c r="A204" s="13" t="s">
        <v>29</v>
      </c>
      <c r="B204" s="28">
        <v>1648.88</v>
      </c>
      <c r="C204" s="19">
        <v>4.1720900000000002E-5</v>
      </c>
      <c r="D204" s="28" t="s">
        <v>45</v>
      </c>
    </row>
    <row r="205" spans="1:4" x14ac:dyDescent="0.2">
      <c r="A205" s="13" t="s">
        <v>29</v>
      </c>
      <c r="B205" s="28">
        <v>1648.88</v>
      </c>
      <c r="C205" s="19">
        <v>5.8292699999999998E-5</v>
      </c>
      <c r="D205" s="28" t="s">
        <v>45</v>
      </c>
    </row>
    <row r="206" spans="1:4" x14ac:dyDescent="0.2">
      <c r="A206" s="13" t="s">
        <v>29</v>
      </c>
      <c r="B206" s="28">
        <v>1854.99</v>
      </c>
      <c r="C206" s="19">
        <v>5.5124399999999997E-5</v>
      </c>
      <c r="D206" s="28" t="s">
        <v>45</v>
      </c>
    </row>
    <row r="207" spans="1:4" x14ac:dyDescent="0.2">
      <c r="A207" s="13" t="s">
        <v>29</v>
      </c>
      <c r="B207" s="28">
        <v>1854.99</v>
      </c>
      <c r="C207" s="19">
        <v>7.3157099999999998E-5</v>
      </c>
      <c r="D207" s="28" t="s">
        <v>45</v>
      </c>
    </row>
    <row r="208" spans="1:4" x14ac:dyDescent="0.2">
      <c r="A208" s="13" t="s">
        <v>29</v>
      </c>
      <c r="B208" s="28">
        <v>2061.1</v>
      </c>
      <c r="C208" s="19">
        <v>6.7738399999999995E-5</v>
      </c>
      <c r="D208" s="28" t="s">
        <v>45</v>
      </c>
    </row>
    <row r="209" spans="1:4" x14ac:dyDescent="0.2">
      <c r="A209" s="13" t="s">
        <v>29</v>
      </c>
      <c r="B209" s="28">
        <v>2061.1</v>
      </c>
      <c r="C209" s="19">
        <v>8.3550300000000005E-5</v>
      </c>
      <c r="D209" s="28" t="s">
        <v>45</v>
      </c>
    </row>
    <row r="210" spans="1:4" x14ac:dyDescent="0.2">
      <c r="A210" s="13" t="s">
        <v>29</v>
      </c>
      <c r="B210" s="28">
        <v>2267.21</v>
      </c>
      <c r="C210" s="19">
        <v>7.4341500000000006E-5</v>
      </c>
      <c r="D210" s="28" t="s">
        <v>45</v>
      </c>
    </row>
    <row r="211" spans="1:4" x14ac:dyDescent="0.2">
      <c r="A211" s="13" t="s">
        <v>29</v>
      </c>
      <c r="B211" s="28">
        <v>2267.21</v>
      </c>
      <c r="C211" s="28">
        <v>1.0310300000000001E-4</v>
      </c>
      <c r="D211" s="28" t="s">
        <v>45</v>
      </c>
    </row>
    <row r="212" spans="1:4" x14ac:dyDescent="0.2">
      <c r="A212" s="13" t="s">
        <v>29</v>
      </c>
      <c r="B212" s="28">
        <v>2679.43</v>
      </c>
      <c r="C212" s="28">
        <v>1.0944E-4</v>
      </c>
      <c r="D212" s="28" t="s">
        <v>45</v>
      </c>
    </row>
    <row r="213" spans="1:4" x14ac:dyDescent="0.2">
      <c r="A213" s="13" t="s">
        <v>29</v>
      </c>
      <c r="B213" s="28">
        <v>2679.43</v>
      </c>
      <c r="C213" s="28">
        <v>1.2538999999999999E-4</v>
      </c>
      <c r="D213" s="28" t="s">
        <v>45</v>
      </c>
    </row>
    <row r="214" spans="1:4" x14ac:dyDescent="0.2">
      <c r="A214" s="13" t="s">
        <v>29</v>
      </c>
      <c r="B214" s="28">
        <v>3091.65</v>
      </c>
      <c r="C214" s="28">
        <v>1.4578099999999999E-4</v>
      </c>
      <c r="D214" s="28" t="s">
        <v>45</v>
      </c>
    </row>
    <row r="215" spans="1:4" x14ac:dyDescent="0.2">
      <c r="A215" s="13" t="s">
        <v>29</v>
      </c>
      <c r="B215" s="28">
        <v>3091.65</v>
      </c>
      <c r="C215" s="28">
        <v>1.6311299999999999E-4</v>
      </c>
      <c r="D215" s="28" t="s">
        <v>45</v>
      </c>
    </row>
    <row r="216" spans="1:4" x14ac:dyDescent="0.2">
      <c r="A216" s="13" t="s">
        <v>29</v>
      </c>
      <c r="B216" s="28">
        <v>3503.87</v>
      </c>
      <c r="C216" s="28">
        <v>1.8350500000000001E-4</v>
      </c>
      <c r="D216" s="28" t="s">
        <v>45</v>
      </c>
    </row>
    <row r="217" spans="1:4" x14ac:dyDescent="0.2">
      <c r="A217" s="13" t="s">
        <v>29</v>
      </c>
      <c r="B217" s="28">
        <v>3503.87</v>
      </c>
      <c r="C217" s="28">
        <v>1.81244E-4</v>
      </c>
      <c r="D217" s="28" t="s">
        <v>45</v>
      </c>
    </row>
    <row r="218" spans="1:4" x14ac:dyDescent="0.2">
      <c r="A218" s="13" t="s">
        <v>29</v>
      </c>
      <c r="B218" s="28">
        <v>3916.09</v>
      </c>
      <c r="C218" s="28">
        <v>2.0929499999999999E-4</v>
      </c>
      <c r="D218" s="28" t="s">
        <v>45</v>
      </c>
    </row>
    <row r="219" spans="1:4" x14ac:dyDescent="0.2">
      <c r="A219" s="13" t="s">
        <v>29</v>
      </c>
      <c r="B219" s="28">
        <v>3916.09</v>
      </c>
      <c r="C219" s="28">
        <v>2.18395E-4</v>
      </c>
      <c r="D219" s="28" t="s">
        <v>45</v>
      </c>
    </row>
    <row r="220" spans="1:4" x14ac:dyDescent="0.2">
      <c r="A220" s="13" t="s">
        <v>29</v>
      </c>
      <c r="B220" s="28">
        <v>4328.3100000000004</v>
      </c>
      <c r="C220" s="28">
        <v>2.6025400000000002E-4</v>
      </c>
      <c r="D220" s="28" t="s">
        <v>45</v>
      </c>
    </row>
    <row r="221" spans="1:4" x14ac:dyDescent="0.2">
      <c r="A221" s="13" t="s">
        <v>29</v>
      </c>
      <c r="B221" s="28">
        <v>4328.3100000000004</v>
      </c>
      <c r="C221" s="28">
        <v>2.21929E-4</v>
      </c>
      <c r="D221" s="28" t="s">
        <v>45</v>
      </c>
    </row>
    <row r="222" spans="1:4" x14ac:dyDescent="0.2">
      <c r="A222" s="13" t="s">
        <v>29</v>
      </c>
      <c r="B222" s="28">
        <v>4740.53</v>
      </c>
      <c r="C222" s="28">
        <v>2.8564999999999998E-4</v>
      </c>
      <c r="D222" s="28" t="s">
        <v>45</v>
      </c>
    </row>
    <row r="223" spans="1:4" x14ac:dyDescent="0.2">
      <c r="A223" s="13" t="s">
        <v>29</v>
      </c>
      <c r="B223" s="28">
        <v>4740.53</v>
      </c>
      <c r="C223" s="28">
        <v>2.7750700000000002E-4</v>
      </c>
      <c r="D223" s="28" t="s">
        <v>45</v>
      </c>
    </row>
    <row r="224" spans="1:4" x14ac:dyDescent="0.2">
      <c r="A224" s="13" t="s">
        <v>29</v>
      </c>
      <c r="B224" s="28">
        <v>5152.75</v>
      </c>
      <c r="C224" s="28">
        <v>3.0006100000000001E-4</v>
      </c>
      <c r="D224" s="28" t="s">
        <v>45</v>
      </c>
    </row>
    <row r="225" spans="1:4" x14ac:dyDescent="0.2">
      <c r="A225" s="13" t="s">
        <v>29</v>
      </c>
      <c r="B225" s="28">
        <v>5152.75</v>
      </c>
      <c r="C225" s="28">
        <v>2.6353100000000001E-4</v>
      </c>
      <c r="D225" s="28" t="s">
        <v>45</v>
      </c>
    </row>
    <row r="226" spans="1:4" x14ac:dyDescent="0.2">
      <c r="A226" s="13" t="s">
        <v>29</v>
      </c>
      <c r="B226" s="28">
        <v>0</v>
      </c>
      <c r="C226" s="19">
        <v>1.2632900000000001E-5</v>
      </c>
      <c r="D226" s="28" t="s">
        <v>46</v>
      </c>
    </row>
    <row r="227" spans="1:4" x14ac:dyDescent="0.2">
      <c r="A227" s="13" t="s">
        <v>29</v>
      </c>
      <c r="B227" s="28">
        <v>51.527500000000003</v>
      </c>
      <c r="C227" s="19">
        <v>1.41485E-5</v>
      </c>
      <c r="D227" s="28" t="s">
        <v>46</v>
      </c>
    </row>
    <row r="228" spans="1:4" x14ac:dyDescent="0.2">
      <c r="A228" s="13" t="s">
        <v>29</v>
      </c>
      <c r="B228" s="28">
        <v>103.05500000000001</v>
      </c>
      <c r="C228" s="19">
        <v>1.6411800000000001E-5</v>
      </c>
      <c r="D228" s="28" t="s">
        <v>46</v>
      </c>
    </row>
    <row r="229" spans="1:4" x14ac:dyDescent="0.2">
      <c r="A229" s="13" t="s">
        <v>29</v>
      </c>
      <c r="B229" s="28">
        <v>103.05500000000001</v>
      </c>
      <c r="C229" s="19">
        <v>1.00605E-5</v>
      </c>
      <c r="D229" s="28" t="s">
        <v>46</v>
      </c>
    </row>
    <row r="230" spans="1:4" x14ac:dyDescent="0.2">
      <c r="A230" s="13" t="s">
        <v>29</v>
      </c>
      <c r="B230" s="28">
        <v>154.58250000000001</v>
      </c>
      <c r="C230" s="19">
        <v>1.32012E-5</v>
      </c>
      <c r="D230" s="28" t="s">
        <v>46</v>
      </c>
    </row>
    <row r="231" spans="1:4" x14ac:dyDescent="0.2">
      <c r="A231" s="13" t="s">
        <v>29</v>
      </c>
      <c r="B231" s="28">
        <v>154.58250000000001</v>
      </c>
      <c r="C231" s="19">
        <v>9.7015199999999999E-6</v>
      </c>
      <c r="D231" s="28" t="s">
        <v>46</v>
      </c>
    </row>
    <row r="232" spans="1:4" x14ac:dyDescent="0.2">
      <c r="A232" s="13" t="s">
        <v>29</v>
      </c>
      <c r="B232" s="28">
        <v>206.11</v>
      </c>
      <c r="C232" s="19">
        <v>1.3570199999999999E-5</v>
      </c>
      <c r="D232" s="28" t="s">
        <v>46</v>
      </c>
    </row>
    <row r="233" spans="1:4" x14ac:dyDescent="0.2">
      <c r="A233" s="13" t="s">
        <v>29</v>
      </c>
      <c r="B233" s="28">
        <v>206.11</v>
      </c>
      <c r="C233" s="19">
        <v>1.1037600000000001E-5</v>
      </c>
      <c r="D233" s="28" t="s">
        <v>46</v>
      </c>
    </row>
    <row r="234" spans="1:4" x14ac:dyDescent="0.2">
      <c r="A234" s="13" t="s">
        <v>29</v>
      </c>
      <c r="B234" s="28">
        <v>309.16500000000002</v>
      </c>
      <c r="C234" s="19">
        <v>9.2727800000000007E-6</v>
      </c>
      <c r="D234" s="28" t="s">
        <v>46</v>
      </c>
    </row>
    <row r="235" spans="1:4" x14ac:dyDescent="0.2">
      <c r="A235" s="13" t="s">
        <v>29</v>
      </c>
      <c r="B235" s="28">
        <v>309.16500000000002</v>
      </c>
      <c r="C235" s="19">
        <v>9.0933100000000005E-6</v>
      </c>
      <c r="D235" s="28" t="s">
        <v>46</v>
      </c>
    </row>
    <row r="236" spans="1:4" x14ac:dyDescent="0.2">
      <c r="A236" s="13" t="s">
        <v>29</v>
      </c>
      <c r="B236" s="28">
        <v>412.22</v>
      </c>
      <c r="C236" s="19">
        <v>1.44775E-5</v>
      </c>
      <c r="D236" s="28" t="s">
        <v>46</v>
      </c>
    </row>
    <row r="237" spans="1:4" x14ac:dyDescent="0.2">
      <c r="A237" s="13" t="s">
        <v>29</v>
      </c>
      <c r="B237" s="28">
        <v>412.22</v>
      </c>
      <c r="C237" s="19">
        <v>7.5777500000000004E-6</v>
      </c>
      <c r="D237" s="28" t="s">
        <v>46</v>
      </c>
    </row>
    <row r="238" spans="1:4" x14ac:dyDescent="0.2">
      <c r="A238" s="13" t="s">
        <v>29</v>
      </c>
      <c r="B238" s="28">
        <v>515.27499999999998</v>
      </c>
      <c r="C238" s="19">
        <v>1.42681E-5</v>
      </c>
      <c r="D238" s="28" t="s">
        <v>46</v>
      </c>
    </row>
    <row r="239" spans="1:4" x14ac:dyDescent="0.2">
      <c r="A239" s="13" t="s">
        <v>29</v>
      </c>
      <c r="B239" s="28">
        <v>515.27499999999998</v>
      </c>
      <c r="C239" s="19">
        <v>1.1027599999999999E-5</v>
      </c>
      <c r="D239" s="28" t="s">
        <v>46</v>
      </c>
    </row>
    <row r="240" spans="1:4" x14ac:dyDescent="0.2">
      <c r="A240" s="13" t="s">
        <v>29</v>
      </c>
      <c r="B240" s="28">
        <v>618.33000000000004</v>
      </c>
      <c r="C240" s="19">
        <v>9.3325999999999994E-6</v>
      </c>
      <c r="D240" s="28" t="s">
        <v>46</v>
      </c>
    </row>
    <row r="241" spans="1:4" x14ac:dyDescent="0.2">
      <c r="A241" s="13" t="s">
        <v>29</v>
      </c>
      <c r="B241" s="28">
        <v>618.33000000000004</v>
      </c>
      <c r="C241" s="19">
        <v>1.04294E-5</v>
      </c>
      <c r="D241" s="28" t="s">
        <v>46</v>
      </c>
    </row>
    <row r="242" spans="1:4" x14ac:dyDescent="0.2">
      <c r="A242" s="13" t="s">
        <v>29</v>
      </c>
      <c r="B242" s="28">
        <v>721.38499999999999</v>
      </c>
      <c r="C242" s="19">
        <v>8.4651499999999997E-6</v>
      </c>
      <c r="D242" s="28" t="s">
        <v>46</v>
      </c>
    </row>
    <row r="243" spans="1:4" x14ac:dyDescent="0.2">
      <c r="A243" s="13" t="s">
        <v>29</v>
      </c>
      <c r="B243" s="28">
        <v>721.38499999999999</v>
      </c>
      <c r="C243" s="19">
        <v>1.14963E-5</v>
      </c>
      <c r="D243" s="28" t="s">
        <v>46</v>
      </c>
    </row>
    <row r="244" spans="1:4" x14ac:dyDescent="0.2">
      <c r="A244" s="13" t="s">
        <v>29</v>
      </c>
      <c r="B244" s="28">
        <v>824.44</v>
      </c>
      <c r="C244" s="19">
        <v>1.1795400000000001E-5</v>
      </c>
      <c r="D244" s="28" t="s">
        <v>46</v>
      </c>
    </row>
    <row r="245" spans="1:4" x14ac:dyDescent="0.2">
      <c r="A245" s="13" t="s">
        <v>29</v>
      </c>
      <c r="B245" s="28">
        <v>824.44</v>
      </c>
      <c r="C245" s="19">
        <v>1.5474599999999999E-5</v>
      </c>
      <c r="D245" s="28" t="s">
        <v>46</v>
      </c>
    </row>
    <row r="246" spans="1:4" x14ac:dyDescent="0.2">
      <c r="A246" s="13" t="s">
        <v>29</v>
      </c>
      <c r="B246" s="28">
        <v>927.495</v>
      </c>
      <c r="C246" s="19">
        <v>1.45772E-5</v>
      </c>
      <c r="D246" s="28" t="s">
        <v>46</v>
      </c>
    </row>
    <row r="247" spans="1:4" x14ac:dyDescent="0.2">
      <c r="A247" s="13" t="s">
        <v>29</v>
      </c>
      <c r="B247" s="28">
        <v>927.495</v>
      </c>
      <c r="C247" s="19">
        <v>1.29021E-5</v>
      </c>
      <c r="D247" s="28" t="s">
        <v>46</v>
      </c>
    </row>
    <row r="248" spans="1:4" x14ac:dyDescent="0.2">
      <c r="A248" s="13" t="s">
        <v>29</v>
      </c>
      <c r="B248" s="28">
        <v>1030.55</v>
      </c>
      <c r="C248" s="19">
        <v>1.0708599999999999E-5</v>
      </c>
      <c r="D248" s="28" t="s">
        <v>46</v>
      </c>
    </row>
    <row r="249" spans="1:4" x14ac:dyDescent="0.2">
      <c r="A249" s="13" t="s">
        <v>29</v>
      </c>
      <c r="B249" s="28">
        <v>1030.55</v>
      </c>
      <c r="C249" s="19">
        <v>1.5773700000000001E-5</v>
      </c>
      <c r="D249" s="28" t="s">
        <v>46</v>
      </c>
    </row>
    <row r="250" spans="1:4" x14ac:dyDescent="0.2">
      <c r="A250" s="13" t="s">
        <v>29</v>
      </c>
      <c r="B250" s="28">
        <v>1236.6600000000001</v>
      </c>
      <c r="C250" s="19">
        <v>1.4617099999999999E-5</v>
      </c>
      <c r="D250" s="28" t="s">
        <v>46</v>
      </c>
    </row>
    <row r="251" spans="1:4" x14ac:dyDescent="0.2">
      <c r="A251" s="13" t="s">
        <v>29</v>
      </c>
      <c r="B251" s="28">
        <v>1236.6600000000001</v>
      </c>
      <c r="C251" s="19">
        <v>1.9911500000000001E-5</v>
      </c>
      <c r="D251" s="28" t="s">
        <v>46</v>
      </c>
    </row>
    <row r="252" spans="1:4" x14ac:dyDescent="0.2">
      <c r="A252" s="13" t="s">
        <v>29</v>
      </c>
      <c r="B252" s="28">
        <v>1442.77</v>
      </c>
      <c r="C252" s="19">
        <v>1.6870500000000001E-5</v>
      </c>
      <c r="D252" s="28" t="s">
        <v>46</v>
      </c>
    </row>
    <row r="253" spans="1:4" x14ac:dyDescent="0.2">
      <c r="A253" s="13" t="s">
        <v>29</v>
      </c>
      <c r="B253" s="28">
        <v>1442.77</v>
      </c>
      <c r="C253" s="19">
        <v>2.35808E-5</v>
      </c>
      <c r="D253" s="28" t="s">
        <v>46</v>
      </c>
    </row>
    <row r="254" spans="1:4" x14ac:dyDescent="0.2">
      <c r="A254" s="13" t="s">
        <v>29</v>
      </c>
      <c r="B254" s="28">
        <v>1648.88</v>
      </c>
      <c r="C254" s="19">
        <v>1.5474599999999999E-5</v>
      </c>
      <c r="D254" s="28" t="s">
        <v>46</v>
      </c>
    </row>
    <row r="255" spans="1:4" x14ac:dyDescent="0.2">
      <c r="A255" s="13" t="s">
        <v>29</v>
      </c>
      <c r="B255" s="28">
        <v>1648.88</v>
      </c>
      <c r="C255" s="19">
        <v>2.4807199999999999E-5</v>
      </c>
      <c r="D255" s="28" t="s">
        <v>46</v>
      </c>
    </row>
    <row r="256" spans="1:4" x14ac:dyDescent="0.2">
      <c r="A256" s="13" t="s">
        <v>29</v>
      </c>
      <c r="B256" s="28">
        <v>1854.99</v>
      </c>
      <c r="C256" s="19">
        <v>2.3281700000000001E-5</v>
      </c>
      <c r="D256" s="28" t="s">
        <v>46</v>
      </c>
    </row>
    <row r="257" spans="1:4" x14ac:dyDescent="0.2">
      <c r="A257" s="13" t="s">
        <v>29</v>
      </c>
      <c r="B257" s="28">
        <v>1854.99</v>
      </c>
      <c r="C257" s="19">
        <v>2.9383700000000001E-5</v>
      </c>
      <c r="D257" s="28" t="s">
        <v>46</v>
      </c>
    </row>
    <row r="258" spans="1:4" x14ac:dyDescent="0.2">
      <c r="A258" s="13" t="s">
        <v>29</v>
      </c>
      <c r="B258" s="28">
        <v>2061.1</v>
      </c>
      <c r="C258" s="19">
        <v>2.3521000000000001E-5</v>
      </c>
      <c r="D258" s="28" t="s">
        <v>46</v>
      </c>
    </row>
    <row r="259" spans="1:4" x14ac:dyDescent="0.2">
      <c r="A259" s="13" t="s">
        <v>29</v>
      </c>
      <c r="B259" s="28">
        <v>2061.1</v>
      </c>
      <c r="C259" s="19">
        <v>3.40002E-5</v>
      </c>
      <c r="D259" s="28" t="s">
        <v>46</v>
      </c>
    </row>
    <row r="260" spans="1:4" x14ac:dyDescent="0.2">
      <c r="A260" s="13" t="s">
        <v>29</v>
      </c>
      <c r="B260" s="28">
        <v>2267.21</v>
      </c>
      <c r="C260" s="19">
        <v>2.48371E-5</v>
      </c>
      <c r="D260" s="28" t="s">
        <v>46</v>
      </c>
    </row>
    <row r="261" spans="1:4" x14ac:dyDescent="0.2">
      <c r="A261" s="13" t="s">
        <v>29</v>
      </c>
      <c r="B261" s="28">
        <v>2267.21</v>
      </c>
      <c r="C261" s="19">
        <v>4.1946900000000003E-5</v>
      </c>
      <c r="D261" s="28" t="s">
        <v>46</v>
      </c>
    </row>
    <row r="262" spans="1:4" x14ac:dyDescent="0.2">
      <c r="A262" s="13" t="s">
        <v>29</v>
      </c>
      <c r="B262" s="28">
        <v>2679.43</v>
      </c>
      <c r="C262" s="19">
        <v>3.3132700000000002E-5</v>
      </c>
      <c r="D262" s="28" t="s">
        <v>46</v>
      </c>
    </row>
    <row r="263" spans="1:4" x14ac:dyDescent="0.2">
      <c r="A263" s="13" t="s">
        <v>29</v>
      </c>
      <c r="B263" s="28">
        <v>2679.43</v>
      </c>
      <c r="C263" s="19">
        <v>4.8417900000000003E-5</v>
      </c>
      <c r="D263" s="28" t="s">
        <v>46</v>
      </c>
    </row>
    <row r="264" spans="1:4" x14ac:dyDescent="0.2">
      <c r="A264" s="13" t="s">
        <v>29</v>
      </c>
      <c r="B264" s="28">
        <v>3091.65</v>
      </c>
      <c r="C264" s="19">
        <v>4.7570400000000001E-5</v>
      </c>
      <c r="D264" s="28" t="s">
        <v>46</v>
      </c>
    </row>
    <row r="265" spans="1:4" x14ac:dyDescent="0.2">
      <c r="A265" s="13" t="s">
        <v>29</v>
      </c>
      <c r="B265" s="28">
        <v>3091.65</v>
      </c>
      <c r="C265" s="19">
        <v>7.3234999999999999E-5</v>
      </c>
      <c r="D265" s="28" t="s">
        <v>46</v>
      </c>
    </row>
    <row r="266" spans="1:4" x14ac:dyDescent="0.2">
      <c r="A266" s="13" t="s">
        <v>29</v>
      </c>
      <c r="B266" s="28">
        <v>3503.87</v>
      </c>
      <c r="C266" s="19">
        <v>5.6354599999999997E-5</v>
      </c>
      <c r="D266" s="28" t="s">
        <v>46</v>
      </c>
    </row>
    <row r="267" spans="1:4" x14ac:dyDescent="0.2">
      <c r="A267" s="13" t="s">
        <v>29</v>
      </c>
      <c r="B267" s="28">
        <v>3503.87</v>
      </c>
      <c r="C267" s="19">
        <v>8.5149999999999996E-5</v>
      </c>
      <c r="D267" s="28" t="s">
        <v>46</v>
      </c>
    </row>
    <row r="268" spans="1:4" x14ac:dyDescent="0.2">
      <c r="A268" s="13" t="s">
        <v>29</v>
      </c>
      <c r="B268" s="28">
        <v>3916.09</v>
      </c>
      <c r="C268" s="19">
        <v>6.1988000000000003E-5</v>
      </c>
      <c r="D268" s="28" t="s">
        <v>46</v>
      </c>
    </row>
    <row r="269" spans="1:4" x14ac:dyDescent="0.2">
      <c r="A269" s="13" t="s">
        <v>29</v>
      </c>
      <c r="B269" s="28">
        <v>3916.09</v>
      </c>
      <c r="C269" s="19">
        <v>9.4103699999999998E-5</v>
      </c>
      <c r="D269" s="28" t="s">
        <v>46</v>
      </c>
    </row>
    <row r="270" spans="1:4" x14ac:dyDescent="0.2">
      <c r="A270" s="13" t="s">
        <v>29</v>
      </c>
      <c r="B270" s="28">
        <v>4328.3100000000004</v>
      </c>
      <c r="C270" s="19">
        <v>8.1261399999999994E-5</v>
      </c>
      <c r="D270" s="28" t="s">
        <v>46</v>
      </c>
    </row>
    <row r="271" spans="1:4" x14ac:dyDescent="0.2">
      <c r="A271" s="13" t="s">
        <v>29</v>
      </c>
      <c r="B271" s="28">
        <v>4328.3100000000004</v>
      </c>
      <c r="C271" s="19">
        <v>9.8770000000000005E-5</v>
      </c>
      <c r="D271" s="28" t="s">
        <v>46</v>
      </c>
    </row>
    <row r="272" spans="1:4" x14ac:dyDescent="0.2">
      <c r="A272" s="13" t="s">
        <v>29</v>
      </c>
      <c r="B272" s="28">
        <v>4740.53</v>
      </c>
      <c r="C272" s="19">
        <v>9.8909599999999999E-5</v>
      </c>
      <c r="D272" s="28" t="s">
        <v>46</v>
      </c>
    </row>
    <row r="273" spans="1:4" x14ac:dyDescent="0.2">
      <c r="A273" s="13" t="s">
        <v>29</v>
      </c>
      <c r="B273" s="28">
        <v>4740.53</v>
      </c>
      <c r="C273" s="28">
        <v>1.22082E-4</v>
      </c>
      <c r="D273" s="28" t="s">
        <v>46</v>
      </c>
    </row>
    <row r="274" spans="1:4" x14ac:dyDescent="0.2">
      <c r="A274" s="13" t="s">
        <v>29</v>
      </c>
      <c r="B274" s="28">
        <v>5152.75</v>
      </c>
      <c r="C274" s="28">
        <v>1.0067400000000001E-4</v>
      </c>
      <c r="D274" s="28" t="s">
        <v>46</v>
      </c>
    </row>
    <row r="275" spans="1:4" x14ac:dyDescent="0.2">
      <c r="A275" s="13" t="s">
        <v>29</v>
      </c>
      <c r="B275" s="28">
        <v>5152.75</v>
      </c>
      <c r="C275" s="28">
        <v>1.14135E-4</v>
      </c>
      <c r="D275" s="28" t="s">
        <v>46</v>
      </c>
    </row>
    <row r="276" spans="1:4" x14ac:dyDescent="0.2">
      <c r="A276" s="13" t="s">
        <v>29</v>
      </c>
      <c r="B276" s="28">
        <v>0</v>
      </c>
      <c r="C276" s="19">
        <v>1.1419399999999999E-5</v>
      </c>
      <c r="D276" s="28" t="s">
        <v>47</v>
      </c>
    </row>
    <row r="277" spans="1:4" x14ac:dyDescent="0.2">
      <c r="A277" s="13" t="s">
        <v>29</v>
      </c>
      <c r="B277" s="28">
        <v>51.527500000000003</v>
      </c>
      <c r="C277" s="19">
        <v>1.0401099999999999E-5</v>
      </c>
      <c r="D277" s="28" t="s">
        <v>47</v>
      </c>
    </row>
    <row r="278" spans="1:4" x14ac:dyDescent="0.2">
      <c r="A278" s="13" t="s">
        <v>29</v>
      </c>
      <c r="B278" s="28">
        <v>103.05500000000001</v>
      </c>
      <c r="C278" s="19">
        <v>9.4035900000000002E-6</v>
      </c>
      <c r="D278" s="28" t="s">
        <v>47</v>
      </c>
    </row>
    <row r="279" spans="1:4" x14ac:dyDescent="0.2">
      <c r="A279" s="13" t="s">
        <v>29</v>
      </c>
      <c r="B279" s="28">
        <v>103.05500000000001</v>
      </c>
      <c r="C279" s="19">
        <v>7.3254500000000003E-6</v>
      </c>
      <c r="D279" s="28" t="s">
        <v>47</v>
      </c>
    </row>
    <row r="280" spans="1:4" x14ac:dyDescent="0.2">
      <c r="A280" s="13" t="s">
        <v>29</v>
      </c>
      <c r="B280" s="28">
        <v>154.58250000000001</v>
      </c>
      <c r="C280" s="19">
        <v>1.3383199999999999E-5</v>
      </c>
      <c r="D280" s="28" t="s">
        <v>47</v>
      </c>
    </row>
    <row r="281" spans="1:4" x14ac:dyDescent="0.2">
      <c r="A281" s="13" t="s">
        <v>29</v>
      </c>
      <c r="B281" s="28">
        <v>154.58250000000001</v>
      </c>
      <c r="C281" s="19">
        <v>8.1774799999999995E-6</v>
      </c>
      <c r="D281" s="28" t="s">
        <v>47</v>
      </c>
    </row>
    <row r="282" spans="1:4" x14ac:dyDescent="0.2">
      <c r="A282" s="13" t="s">
        <v>29</v>
      </c>
      <c r="B282" s="28">
        <v>206.11</v>
      </c>
      <c r="C282" s="19">
        <v>9.8400000000000007E-6</v>
      </c>
      <c r="D282" s="28" t="s">
        <v>47</v>
      </c>
    </row>
    <row r="283" spans="1:4" x14ac:dyDescent="0.2">
      <c r="A283" s="13" t="s">
        <v>29</v>
      </c>
      <c r="B283" s="28">
        <v>206.11</v>
      </c>
      <c r="C283" s="19">
        <v>8.0216199999999993E-6</v>
      </c>
      <c r="D283" s="28" t="s">
        <v>47</v>
      </c>
    </row>
    <row r="284" spans="1:4" x14ac:dyDescent="0.2">
      <c r="A284" s="13" t="s">
        <v>29</v>
      </c>
      <c r="B284" s="28">
        <v>309.16500000000002</v>
      </c>
      <c r="C284" s="19">
        <v>9.2061600000000006E-6</v>
      </c>
      <c r="D284" s="28" t="s">
        <v>47</v>
      </c>
    </row>
    <row r="285" spans="1:4" x14ac:dyDescent="0.2">
      <c r="A285" s="13" t="s">
        <v>29</v>
      </c>
      <c r="B285" s="28">
        <v>309.16500000000002</v>
      </c>
      <c r="C285" s="19">
        <v>8.1151400000000007E-6</v>
      </c>
      <c r="D285" s="28" t="s">
        <v>47</v>
      </c>
    </row>
    <row r="286" spans="1:4" x14ac:dyDescent="0.2">
      <c r="A286" s="13" t="s">
        <v>29</v>
      </c>
      <c r="B286" s="28">
        <v>412.22</v>
      </c>
      <c r="C286" s="19">
        <v>9.1646000000000003E-6</v>
      </c>
      <c r="D286" s="28" t="s">
        <v>47</v>
      </c>
    </row>
    <row r="287" spans="1:4" x14ac:dyDescent="0.2">
      <c r="A287" s="13" t="s">
        <v>29</v>
      </c>
      <c r="B287" s="28">
        <v>412.22</v>
      </c>
      <c r="C287" s="19">
        <v>7.03451E-6</v>
      </c>
      <c r="D287" s="28" t="s">
        <v>47</v>
      </c>
    </row>
    <row r="288" spans="1:4" x14ac:dyDescent="0.2">
      <c r="A288" s="13" t="s">
        <v>29</v>
      </c>
      <c r="B288" s="28">
        <v>515.27499999999998</v>
      </c>
      <c r="C288" s="19">
        <v>1.0723199999999999E-5</v>
      </c>
      <c r="D288" s="28" t="s">
        <v>47</v>
      </c>
    </row>
    <row r="289" spans="1:4" x14ac:dyDescent="0.2">
      <c r="A289" s="13" t="s">
        <v>29</v>
      </c>
      <c r="B289" s="28">
        <v>515.27499999999998</v>
      </c>
      <c r="C289" s="19">
        <v>8.4164699999999994E-6</v>
      </c>
      <c r="D289" s="28" t="s">
        <v>47</v>
      </c>
    </row>
    <row r="290" spans="1:4" x14ac:dyDescent="0.2">
      <c r="A290" s="13" t="s">
        <v>29</v>
      </c>
      <c r="B290" s="28">
        <v>618.33000000000004</v>
      </c>
      <c r="C290" s="19">
        <v>7.6683400000000002E-6</v>
      </c>
      <c r="D290" s="28" t="s">
        <v>47</v>
      </c>
    </row>
    <row r="291" spans="1:4" x14ac:dyDescent="0.2">
      <c r="A291" s="13" t="s">
        <v>29</v>
      </c>
      <c r="B291" s="28">
        <v>618.33000000000004</v>
      </c>
      <c r="C291" s="19">
        <v>7.5020899999999999E-6</v>
      </c>
      <c r="D291" s="28" t="s">
        <v>47</v>
      </c>
    </row>
    <row r="292" spans="1:4" x14ac:dyDescent="0.2">
      <c r="A292" s="13" t="s">
        <v>29</v>
      </c>
      <c r="B292" s="28">
        <v>721.38499999999999</v>
      </c>
      <c r="C292" s="19">
        <v>6.9409900000000003E-6</v>
      </c>
      <c r="D292" s="28" t="s">
        <v>47</v>
      </c>
    </row>
    <row r="293" spans="1:4" x14ac:dyDescent="0.2">
      <c r="A293" s="13" t="s">
        <v>29</v>
      </c>
      <c r="B293" s="28">
        <v>721.38499999999999</v>
      </c>
      <c r="C293" s="19">
        <v>8.3333500000000004E-6</v>
      </c>
      <c r="D293" s="28" t="s">
        <v>47</v>
      </c>
    </row>
    <row r="294" spans="1:4" x14ac:dyDescent="0.2">
      <c r="A294" s="13" t="s">
        <v>29</v>
      </c>
      <c r="B294" s="28">
        <v>824.44</v>
      </c>
      <c r="C294" s="19">
        <v>9.1646000000000003E-6</v>
      </c>
      <c r="D294" s="28" t="s">
        <v>47</v>
      </c>
    </row>
    <row r="295" spans="1:4" x14ac:dyDescent="0.2">
      <c r="A295" s="13" t="s">
        <v>29</v>
      </c>
      <c r="B295" s="28">
        <v>824.44</v>
      </c>
      <c r="C295" s="19">
        <v>1.00894E-5</v>
      </c>
      <c r="D295" s="28" t="s">
        <v>47</v>
      </c>
    </row>
    <row r="296" spans="1:4" x14ac:dyDescent="0.2">
      <c r="A296" s="13" t="s">
        <v>29</v>
      </c>
      <c r="B296" s="28">
        <v>927.495</v>
      </c>
      <c r="C296" s="19">
        <v>9.4763200000000008E-6</v>
      </c>
      <c r="D296" s="28" t="s">
        <v>47</v>
      </c>
    </row>
    <row r="297" spans="1:4" x14ac:dyDescent="0.2">
      <c r="A297" s="13" t="s">
        <v>29</v>
      </c>
      <c r="B297" s="28">
        <v>927.495</v>
      </c>
      <c r="C297" s="19">
        <v>8.7593600000000001E-6</v>
      </c>
      <c r="D297" s="28" t="s">
        <v>47</v>
      </c>
    </row>
    <row r="298" spans="1:4" x14ac:dyDescent="0.2">
      <c r="A298" s="13" t="s">
        <v>29</v>
      </c>
      <c r="B298" s="28">
        <v>1030.55</v>
      </c>
      <c r="C298" s="19">
        <v>9.4867099999999992E-6</v>
      </c>
      <c r="D298" s="28" t="s">
        <v>47</v>
      </c>
    </row>
    <row r="299" spans="1:4" x14ac:dyDescent="0.2">
      <c r="A299" s="13" t="s">
        <v>29</v>
      </c>
      <c r="B299" s="28">
        <v>1030.55</v>
      </c>
      <c r="C299" s="19">
        <v>1.07336E-5</v>
      </c>
      <c r="D299" s="28" t="s">
        <v>47</v>
      </c>
    </row>
    <row r="300" spans="1:4" x14ac:dyDescent="0.2">
      <c r="A300" s="13" t="s">
        <v>29</v>
      </c>
      <c r="B300" s="28">
        <v>1236.6600000000001</v>
      </c>
      <c r="C300" s="19">
        <v>8.1774799999999995E-6</v>
      </c>
      <c r="D300" s="28" t="s">
        <v>47</v>
      </c>
    </row>
    <row r="301" spans="1:4" x14ac:dyDescent="0.2">
      <c r="A301" s="13" t="s">
        <v>29</v>
      </c>
      <c r="B301" s="28">
        <v>1236.6600000000001</v>
      </c>
      <c r="C301" s="19">
        <v>1.0099799999999999E-5</v>
      </c>
      <c r="D301" s="28" t="s">
        <v>47</v>
      </c>
    </row>
    <row r="302" spans="1:4" x14ac:dyDescent="0.2">
      <c r="A302" s="13" t="s">
        <v>29</v>
      </c>
      <c r="B302" s="28">
        <v>1442.77</v>
      </c>
      <c r="C302" s="19">
        <v>8.2398300000000007E-6</v>
      </c>
      <c r="D302" s="28" t="s">
        <v>47</v>
      </c>
    </row>
    <row r="303" spans="1:4" x14ac:dyDescent="0.2">
      <c r="A303" s="13" t="s">
        <v>29</v>
      </c>
      <c r="B303" s="28">
        <v>1442.77</v>
      </c>
      <c r="C303" s="19">
        <v>1.26351E-5</v>
      </c>
      <c r="D303" s="28" t="s">
        <v>47</v>
      </c>
    </row>
    <row r="304" spans="1:4" x14ac:dyDescent="0.2">
      <c r="A304" s="13" t="s">
        <v>29</v>
      </c>
      <c r="B304" s="28">
        <v>1648.88</v>
      </c>
      <c r="C304" s="19">
        <v>6.0785600000000003E-6</v>
      </c>
      <c r="D304" s="28" t="s">
        <v>47</v>
      </c>
    </row>
    <row r="305" spans="1:4" x14ac:dyDescent="0.2">
      <c r="A305" s="13" t="s">
        <v>29</v>
      </c>
      <c r="B305" s="28">
        <v>1648.88</v>
      </c>
      <c r="C305" s="19">
        <v>1.1990900000000001E-5</v>
      </c>
      <c r="D305" s="28" t="s">
        <v>47</v>
      </c>
    </row>
    <row r="306" spans="1:4" x14ac:dyDescent="0.2">
      <c r="A306" s="13" t="s">
        <v>29</v>
      </c>
      <c r="B306" s="28">
        <v>1854.99</v>
      </c>
      <c r="C306" s="19">
        <v>1.0702399999999999E-5</v>
      </c>
      <c r="D306" s="28" t="s">
        <v>47</v>
      </c>
    </row>
    <row r="307" spans="1:4" x14ac:dyDescent="0.2">
      <c r="A307" s="13" t="s">
        <v>29</v>
      </c>
      <c r="B307" s="28">
        <v>1854.99</v>
      </c>
      <c r="C307" s="19">
        <v>1.27702E-5</v>
      </c>
      <c r="D307" s="28" t="s">
        <v>47</v>
      </c>
    </row>
    <row r="308" spans="1:4" x14ac:dyDescent="0.2">
      <c r="A308" s="13" t="s">
        <v>29</v>
      </c>
      <c r="B308" s="28">
        <v>2061.1</v>
      </c>
      <c r="C308" s="19">
        <v>1.34871E-5</v>
      </c>
      <c r="D308" s="28" t="s">
        <v>47</v>
      </c>
    </row>
    <row r="309" spans="1:4" x14ac:dyDescent="0.2">
      <c r="A309" s="13" t="s">
        <v>29</v>
      </c>
      <c r="B309" s="28">
        <v>2061.1</v>
      </c>
      <c r="C309" s="19">
        <v>1.5534100000000001E-5</v>
      </c>
      <c r="D309" s="28" t="s">
        <v>47</v>
      </c>
    </row>
    <row r="310" spans="1:4" x14ac:dyDescent="0.2">
      <c r="A310" s="13" t="s">
        <v>29</v>
      </c>
      <c r="B310" s="28">
        <v>2267.21</v>
      </c>
      <c r="C310" s="19">
        <v>9.6945300000000005E-6</v>
      </c>
      <c r="D310" s="28" t="s">
        <v>47</v>
      </c>
    </row>
    <row r="311" spans="1:4" x14ac:dyDescent="0.2">
      <c r="A311" s="13" t="s">
        <v>29</v>
      </c>
      <c r="B311" s="28">
        <v>2267.21</v>
      </c>
      <c r="C311" s="19">
        <v>1.5575700000000001E-5</v>
      </c>
      <c r="D311" s="28" t="s">
        <v>47</v>
      </c>
    </row>
    <row r="312" spans="1:4" x14ac:dyDescent="0.2">
      <c r="A312" s="13" t="s">
        <v>29</v>
      </c>
      <c r="B312" s="28">
        <v>2679.43</v>
      </c>
      <c r="C312" s="19">
        <v>1.2177900000000001E-5</v>
      </c>
      <c r="D312" s="28" t="s">
        <v>47</v>
      </c>
    </row>
    <row r="313" spans="1:4" x14ac:dyDescent="0.2">
      <c r="A313" s="13" t="s">
        <v>29</v>
      </c>
      <c r="B313" s="28">
        <v>2679.43</v>
      </c>
      <c r="C313" s="19">
        <v>1.79551E-5</v>
      </c>
      <c r="D313" s="28" t="s">
        <v>47</v>
      </c>
    </row>
    <row r="314" spans="1:4" x14ac:dyDescent="0.2">
      <c r="A314" s="13" t="s">
        <v>29</v>
      </c>
      <c r="B314" s="28">
        <v>3091.65</v>
      </c>
      <c r="C314" s="19">
        <v>1.6739400000000001E-5</v>
      </c>
      <c r="D314" s="28" t="s">
        <v>47</v>
      </c>
    </row>
    <row r="315" spans="1:4" x14ac:dyDescent="0.2">
      <c r="A315" s="13" t="s">
        <v>29</v>
      </c>
      <c r="B315" s="28">
        <v>3091.65</v>
      </c>
      <c r="C315" s="19">
        <v>2.5748199999999999E-5</v>
      </c>
      <c r="D315" s="28" t="s">
        <v>47</v>
      </c>
    </row>
    <row r="316" spans="1:4" x14ac:dyDescent="0.2">
      <c r="A316" s="13" t="s">
        <v>29</v>
      </c>
      <c r="B316" s="28">
        <v>3503.87</v>
      </c>
      <c r="C316" s="19">
        <v>2.3514199999999999E-5</v>
      </c>
      <c r="D316" s="28" t="s">
        <v>47</v>
      </c>
    </row>
    <row r="317" spans="1:4" x14ac:dyDescent="0.2">
      <c r="A317" s="13" t="s">
        <v>29</v>
      </c>
      <c r="B317" s="28">
        <v>3503.87</v>
      </c>
      <c r="C317" s="19">
        <v>2.9281E-5</v>
      </c>
      <c r="D317" s="28" t="s">
        <v>47</v>
      </c>
    </row>
    <row r="318" spans="1:4" x14ac:dyDescent="0.2">
      <c r="A318" s="13" t="s">
        <v>29</v>
      </c>
      <c r="B318" s="28">
        <v>3916.09</v>
      </c>
      <c r="C318" s="19">
        <v>2.0417699999999999E-5</v>
      </c>
      <c r="D318" s="28" t="s">
        <v>47</v>
      </c>
    </row>
    <row r="319" spans="1:4" x14ac:dyDescent="0.2">
      <c r="A319" s="13" t="s">
        <v>29</v>
      </c>
      <c r="B319" s="28">
        <v>3916.09</v>
      </c>
      <c r="C319" s="19">
        <v>3.3541200000000003E-5</v>
      </c>
      <c r="D319" s="28" t="s">
        <v>47</v>
      </c>
    </row>
    <row r="320" spans="1:4" x14ac:dyDescent="0.2">
      <c r="A320" s="13" t="s">
        <v>29</v>
      </c>
      <c r="B320" s="28">
        <v>4328.3100000000004</v>
      </c>
      <c r="C320" s="19">
        <v>2.7265200000000001E-5</v>
      </c>
      <c r="D320" s="28" t="s">
        <v>47</v>
      </c>
    </row>
    <row r="321" spans="1:4" x14ac:dyDescent="0.2">
      <c r="A321" s="13" t="s">
        <v>29</v>
      </c>
      <c r="B321" s="28">
        <v>4328.3100000000004</v>
      </c>
      <c r="C321" s="19">
        <v>3.1328000000000002E-5</v>
      </c>
      <c r="D321" s="28" t="s">
        <v>47</v>
      </c>
    </row>
    <row r="322" spans="1:4" x14ac:dyDescent="0.2">
      <c r="A322" s="13" t="s">
        <v>29</v>
      </c>
      <c r="B322" s="28">
        <v>4740.53</v>
      </c>
      <c r="C322" s="19">
        <v>3.0995499999999998E-5</v>
      </c>
      <c r="D322" s="28" t="s">
        <v>47</v>
      </c>
    </row>
    <row r="323" spans="1:4" x14ac:dyDescent="0.2">
      <c r="A323" s="13" t="s">
        <v>29</v>
      </c>
      <c r="B323" s="28">
        <v>4740.53</v>
      </c>
      <c r="C323" s="19">
        <v>4.3713700000000001E-5</v>
      </c>
      <c r="D323" s="28" t="s">
        <v>47</v>
      </c>
    </row>
    <row r="324" spans="1:4" x14ac:dyDescent="0.2">
      <c r="A324" s="13" t="s">
        <v>29</v>
      </c>
      <c r="B324" s="28">
        <v>5152.75</v>
      </c>
      <c r="C324" s="19">
        <v>2.8158799999999999E-5</v>
      </c>
      <c r="D324" s="28" t="s">
        <v>47</v>
      </c>
    </row>
    <row r="325" spans="1:4" x14ac:dyDescent="0.2">
      <c r="A325" s="13" t="s">
        <v>29</v>
      </c>
      <c r="B325" s="28">
        <v>5152.75</v>
      </c>
      <c r="C325" s="19">
        <v>3.3250300000000002E-5</v>
      </c>
      <c r="D325" s="28" t="s">
        <v>47</v>
      </c>
    </row>
    <row r="326" spans="1:4" x14ac:dyDescent="0.2">
      <c r="A326" s="13" t="s">
        <v>29</v>
      </c>
      <c r="B326" s="28">
        <v>0</v>
      </c>
      <c r="C326" s="19">
        <v>3.7404399999999997E-5</v>
      </c>
      <c r="D326" s="28" t="s">
        <v>49</v>
      </c>
    </row>
    <row r="327" spans="1:4" x14ac:dyDescent="0.2">
      <c r="A327" s="13" t="s">
        <v>29</v>
      </c>
      <c r="B327" s="28">
        <v>51.527500000000003</v>
      </c>
      <c r="C327" s="19">
        <v>1.99778E-5</v>
      </c>
      <c r="D327" s="28" t="s">
        <v>49</v>
      </c>
    </row>
    <row r="328" spans="1:4" x14ac:dyDescent="0.2">
      <c r="A328" s="13" t="s">
        <v>29</v>
      </c>
      <c r="B328" s="28">
        <v>103.05500000000001</v>
      </c>
      <c r="C328" s="28">
        <v>1.2519899999999999E-4</v>
      </c>
      <c r="D328" s="28" t="s">
        <v>49</v>
      </c>
    </row>
    <row r="329" spans="1:4" x14ac:dyDescent="0.2">
      <c r="A329" s="13" t="s">
        <v>29</v>
      </c>
      <c r="B329" s="28">
        <v>103.05500000000001</v>
      </c>
      <c r="C329" s="19">
        <v>7.0550399999999995E-5</v>
      </c>
      <c r="D329" s="28" t="s">
        <v>49</v>
      </c>
    </row>
    <row r="330" spans="1:4" x14ac:dyDescent="0.2">
      <c r="A330" s="13" t="s">
        <v>29</v>
      </c>
      <c r="B330" s="28">
        <v>154.58250000000001</v>
      </c>
      <c r="C330" s="28">
        <v>2.4708E-4</v>
      </c>
      <c r="D330" s="28" t="s">
        <v>49</v>
      </c>
    </row>
    <row r="331" spans="1:4" x14ac:dyDescent="0.2">
      <c r="A331" s="13" t="s">
        <v>29</v>
      </c>
      <c r="B331" s="28">
        <v>154.58250000000001</v>
      </c>
      <c r="C331" s="28">
        <v>1.7909999999999999E-4</v>
      </c>
      <c r="D331" s="28" t="s">
        <v>49</v>
      </c>
    </row>
    <row r="332" spans="1:4" x14ac:dyDescent="0.2">
      <c r="A332" s="13" t="s">
        <v>29</v>
      </c>
      <c r="B332" s="28">
        <v>206.11</v>
      </c>
      <c r="C332" s="28">
        <v>3.14273E-4</v>
      </c>
      <c r="D332" s="28" t="s">
        <v>49</v>
      </c>
    </row>
    <row r="333" spans="1:4" x14ac:dyDescent="0.2">
      <c r="A333" s="13" t="s">
        <v>29</v>
      </c>
      <c r="B333" s="28">
        <v>206.11</v>
      </c>
      <c r="C333" s="28">
        <v>2.4613E-4</v>
      </c>
      <c r="D333" s="28" t="s">
        <v>49</v>
      </c>
    </row>
    <row r="334" spans="1:4" x14ac:dyDescent="0.2">
      <c r="A334" s="13" t="s">
        <v>29</v>
      </c>
      <c r="B334" s="28">
        <v>309.16500000000002</v>
      </c>
      <c r="C334" s="28">
        <v>4.4776899999999999E-4</v>
      </c>
      <c r="D334" s="28" t="s">
        <v>49</v>
      </c>
    </row>
    <row r="335" spans="1:4" x14ac:dyDescent="0.2">
      <c r="A335" s="13" t="s">
        <v>29</v>
      </c>
      <c r="B335" s="28">
        <v>309.16500000000002</v>
      </c>
      <c r="C335" s="28">
        <v>3.8667500000000001E-4</v>
      </c>
      <c r="D335" s="28" t="s">
        <v>49</v>
      </c>
    </row>
    <row r="336" spans="1:4" x14ac:dyDescent="0.2">
      <c r="A336" s="13" t="s">
        <v>29</v>
      </c>
      <c r="B336" s="28">
        <v>412.22</v>
      </c>
      <c r="C336" s="28">
        <v>4.97603E-4</v>
      </c>
      <c r="D336" s="28" t="s">
        <v>49</v>
      </c>
    </row>
    <row r="337" spans="1:4" x14ac:dyDescent="0.2">
      <c r="A337" s="13" t="s">
        <v>29</v>
      </c>
      <c r="B337" s="28">
        <v>412.22</v>
      </c>
      <c r="C337" s="28">
        <v>4.70211E-4</v>
      </c>
      <c r="D337" s="28" t="s">
        <v>49</v>
      </c>
    </row>
    <row r="338" spans="1:4" x14ac:dyDescent="0.2">
      <c r="A338" s="13" t="s">
        <v>29</v>
      </c>
      <c r="B338" s="28">
        <v>515.27499999999998</v>
      </c>
      <c r="C338" s="28">
        <v>4.9558899999999995E-4</v>
      </c>
      <c r="D338" s="28" t="s">
        <v>49</v>
      </c>
    </row>
    <row r="339" spans="1:4" x14ac:dyDescent="0.2">
      <c r="A339" s="13" t="s">
        <v>29</v>
      </c>
      <c r="B339" s="28">
        <v>515.27499999999998</v>
      </c>
      <c r="C339" s="28">
        <v>4.2629499999999998E-4</v>
      </c>
      <c r="D339" s="28" t="s">
        <v>49</v>
      </c>
    </row>
    <row r="340" spans="1:4" x14ac:dyDescent="0.2">
      <c r="A340" s="13" t="s">
        <v>29</v>
      </c>
      <c r="B340" s="28">
        <v>618.33000000000004</v>
      </c>
      <c r="C340" s="28">
        <v>5.0322300000000002E-4</v>
      </c>
      <c r="D340" s="28" t="s">
        <v>49</v>
      </c>
    </row>
    <row r="341" spans="1:4" x14ac:dyDescent="0.2">
      <c r="A341" s="13" t="s">
        <v>29</v>
      </c>
      <c r="B341" s="28">
        <v>618.33000000000004</v>
      </c>
      <c r="C341" s="28">
        <v>4.21049E-4</v>
      </c>
      <c r="D341" s="28" t="s">
        <v>49</v>
      </c>
    </row>
    <row r="342" spans="1:4" x14ac:dyDescent="0.2">
      <c r="A342" s="13" t="s">
        <v>29</v>
      </c>
      <c r="B342" s="28">
        <v>721.38499999999999</v>
      </c>
      <c r="C342" s="28">
        <v>4.2497100000000001E-4</v>
      </c>
      <c r="D342" s="28" t="s">
        <v>49</v>
      </c>
    </row>
    <row r="343" spans="1:4" x14ac:dyDescent="0.2">
      <c r="A343" s="13" t="s">
        <v>29</v>
      </c>
      <c r="B343" s="28">
        <v>721.38499999999999</v>
      </c>
      <c r="C343" s="28">
        <v>4.2787700000000001E-4</v>
      </c>
      <c r="D343" s="28" t="s">
        <v>49</v>
      </c>
    </row>
    <row r="344" spans="1:4" x14ac:dyDescent="0.2">
      <c r="A344" s="13" t="s">
        <v>29</v>
      </c>
      <c r="B344" s="28">
        <v>824.44</v>
      </c>
      <c r="C344" s="28">
        <v>4.84809E-4</v>
      </c>
      <c r="D344" s="28" t="s">
        <v>49</v>
      </c>
    </row>
    <row r="345" spans="1:4" x14ac:dyDescent="0.2">
      <c r="A345" s="13" t="s">
        <v>29</v>
      </c>
      <c r="B345" s="28">
        <v>824.44</v>
      </c>
      <c r="C345" s="28">
        <v>4.7675199999999999E-4</v>
      </c>
      <c r="D345" s="28" t="s">
        <v>49</v>
      </c>
    </row>
    <row r="346" spans="1:4" x14ac:dyDescent="0.2">
      <c r="A346" s="13" t="s">
        <v>29</v>
      </c>
      <c r="B346" s="28">
        <v>927.495</v>
      </c>
      <c r="C346" s="28">
        <v>4.6538699999999999E-4</v>
      </c>
      <c r="D346" s="28" t="s">
        <v>49</v>
      </c>
    </row>
    <row r="347" spans="1:4" x14ac:dyDescent="0.2">
      <c r="A347" s="13" t="s">
        <v>29</v>
      </c>
      <c r="B347" s="28">
        <v>927.495</v>
      </c>
      <c r="C347" s="28">
        <v>4.1048899999999999E-4</v>
      </c>
      <c r="D347" s="28" t="s">
        <v>49</v>
      </c>
    </row>
    <row r="348" spans="1:4" x14ac:dyDescent="0.2">
      <c r="A348" s="13" t="s">
        <v>29</v>
      </c>
      <c r="B348" s="28">
        <v>1030.55</v>
      </c>
      <c r="C348" s="28">
        <v>4.9554099999999995E-4</v>
      </c>
      <c r="D348" s="28" t="s">
        <v>49</v>
      </c>
    </row>
    <row r="349" spans="1:4" x14ac:dyDescent="0.2">
      <c r="A349" s="13" t="s">
        <v>29</v>
      </c>
      <c r="B349" s="28">
        <v>1030.55</v>
      </c>
      <c r="C349" s="28">
        <v>3.8609000000000001E-4</v>
      </c>
      <c r="D349" s="28" t="s">
        <v>49</v>
      </c>
    </row>
    <row r="350" spans="1:4" x14ac:dyDescent="0.2">
      <c r="A350" s="13" t="s">
        <v>29</v>
      </c>
      <c r="B350" s="28">
        <v>1236.6600000000001</v>
      </c>
      <c r="C350" s="28">
        <v>5.4203699999999999E-4</v>
      </c>
      <c r="D350" s="28" t="s">
        <v>49</v>
      </c>
    </row>
    <row r="351" spans="1:4" x14ac:dyDescent="0.2">
      <c r="A351" s="13" t="s">
        <v>29</v>
      </c>
      <c r="B351" s="28">
        <v>1236.6600000000001</v>
      </c>
      <c r="C351" s="28">
        <v>3.9950800000000002E-4</v>
      </c>
      <c r="D351" s="28" t="s">
        <v>49</v>
      </c>
    </row>
    <row r="352" spans="1:4" x14ac:dyDescent="0.2">
      <c r="A352" s="13" t="s">
        <v>29</v>
      </c>
      <c r="B352" s="28">
        <v>1442.77</v>
      </c>
      <c r="C352" s="28">
        <v>4.8426200000000001E-4</v>
      </c>
      <c r="D352" s="28" t="s">
        <v>49</v>
      </c>
    </row>
    <row r="353" spans="1:4" x14ac:dyDescent="0.2">
      <c r="A353" s="13" t="s">
        <v>29</v>
      </c>
      <c r="B353" s="28">
        <v>1442.77</v>
      </c>
      <c r="C353" s="28">
        <v>4.3875300000000001E-4</v>
      </c>
      <c r="D353" s="28" t="s">
        <v>49</v>
      </c>
    </row>
    <row r="354" spans="1:4" x14ac:dyDescent="0.2">
      <c r="A354" s="13" t="s">
        <v>29</v>
      </c>
      <c r="B354" s="28">
        <v>1648.88</v>
      </c>
      <c r="C354" s="28">
        <v>4.3973200000000002E-4</v>
      </c>
      <c r="D354" s="28" t="s">
        <v>49</v>
      </c>
    </row>
    <row r="355" spans="1:4" x14ac:dyDescent="0.2">
      <c r="A355" s="13" t="s">
        <v>29</v>
      </c>
      <c r="B355" s="28">
        <v>1648.88</v>
      </c>
      <c r="C355" s="28">
        <v>4.1622399999999998E-4</v>
      </c>
      <c r="D355" s="28" t="s">
        <v>49</v>
      </c>
    </row>
    <row r="356" spans="1:4" x14ac:dyDescent="0.2">
      <c r="A356" s="13" t="s">
        <v>29</v>
      </c>
      <c r="B356" s="28">
        <v>1854.99</v>
      </c>
      <c r="C356" s="28">
        <v>4.9299900000000004E-4</v>
      </c>
      <c r="D356" s="28" t="s">
        <v>49</v>
      </c>
    </row>
    <row r="357" spans="1:4" x14ac:dyDescent="0.2">
      <c r="A357" s="13" t="s">
        <v>29</v>
      </c>
      <c r="B357" s="28">
        <v>1854.99</v>
      </c>
      <c r="C357" s="28">
        <v>4.2540299999999998E-4</v>
      </c>
      <c r="D357" s="28" t="s">
        <v>49</v>
      </c>
    </row>
    <row r="358" spans="1:4" x14ac:dyDescent="0.2">
      <c r="A358" s="13" t="s">
        <v>29</v>
      </c>
      <c r="B358" s="28">
        <v>2061.1</v>
      </c>
      <c r="C358" s="28">
        <v>4.6773700000000002E-4</v>
      </c>
      <c r="D358" s="28" t="s">
        <v>49</v>
      </c>
    </row>
    <row r="359" spans="1:4" x14ac:dyDescent="0.2">
      <c r="A359" s="13" t="s">
        <v>29</v>
      </c>
      <c r="B359" s="28">
        <v>2061.1</v>
      </c>
      <c r="C359" s="28">
        <v>4.21662E-4</v>
      </c>
      <c r="D359" s="28" t="s">
        <v>49</v>
      </c>
    </row>
    <row r="360" spans="1:4" x14ac:dyDescent="0.2">
      <c r="A360" s="13" t="s">
        <v>29</v>
      </c>
      <c r="B360" s="28">
        <v>2267.21</v>
      </c>
      <c r="C360" s="28">
        <v>4.4627300000000001E-4</v>
      </c>
      <c r="D360" s="28" t="s">
        <v>49</v>
      </c>
    </row>
    <row r="361" spans="1:4" x14ac:dyDescent="0.2">
      <c r="A361" s="13" t="s">
        <v>29</v>
      </c>
      <c r="B361" s="28">
        <v>2267.21</v>
      </c>
      <c r="C361" s="28">
        <v>4.4779800000000001E-4</v>
      </c>
      <c r="D361" s="28" t="s">
        <v>49</v>
      </c>
    </row>
    <row r="362" spans="1:4" x14ac:dyDescent="0.2">
      <c r="A362" s="13" t="s">
        <v>29</v>
      </c>
      <c r="B362" s="28">
        <v>2679.43</v>
      </c>
      <c r="C362" s="28">
        <v>4.6898399999999998E-4</v>
      </c>
      <c r="D362" s="28" t="s">
        <v>49</v>
      </c>
    </row>
    <row r="363" spans="1:4" x14ac:dyDescent="0.2">
      <c r="A363" s="13" t="s">
        <v>29</v>
      </c>
      <c r="B363" s="28">
        <v>2679.43</v>
      </c>
      <c r="C363" s="28">
        <v>4.3511800000000002E-4</v>
      </c>
      <c r="D363" s="28" t="s">
        <v>49</v>
      </c>
    </row>
    <row r="364" spans="1:4" x14ac:dyDescent="0.2">
      <c r="A364" s="13" t="s">
        <v>29</v>
      </c>
      <c r="B364" s="28">
        <v>3091.65</v>
      </c>
      <c r="C364" s="28">
        <v>4.5023399999999999E-4</v>
      </c>
      <c r="D364" s="28" t="s">
        <v>49</v>
      </c>
    </row>
    <row r="365" spans="1:4" x14ac:dyDescent="0.2">
      <c r="A365" s="13" t="s">
        <v>29</v>
      </c>
      <c r="B365" s="28">
        <v>3091.65</v>
      </c>
      <c r="C365" s="28">
        <v>4.6329599999999998E-4</v>
      </c>
      <c r="D365" s="28" t="s">
        <v>49</v>
      </c>
    </row>
    <row r="366" spans="1:4" x14ac:dyDescent="0.2">
      <c r="A366" s="13" t="s">
        <v>29</v>
      </c>
      <c r="B366" s="28">
        <v>3503.87</v>
      </c>
      <c r="C366" s="28">
        <v>4.7253200000000001E-4</v>
      </c>
      <c r="D366" s="28" t="s">
        <v>49</v>
      </c>
    </row>
    <row r="367" spans="1:4" x14ac:dyDescent="0.2">
      <c r="A367" s="13" t="s">
        <v>29</v>
      </c>
      <c r="B367" s="28">
        <v>3503.87</v>
      </c>
      <c r="C367" s="28">
        <v>4.2755100000000003E-4</v>
      </c>
      <c r="D367" s="28" t="s">
        <v>49</v>
      </c>
    </row>
    <row r="368" spans="1:4" x14ac:dyDescent="0.2">
      <c r="A368" s="13" t="s">
        <v>29</v>
      </c>
      <c r="B368" s="28">
        <v>3916.09</v>
      </c>
      <c r="C368" s="28">
        <v>4.4223500000000002E-4</v>
      </c>
      <c r="D368" s="28" t="s">
        <v>49</v>
      </c>
    </row>
    <row r="369" spans="1:4" x14ac:dyDescent="0.2">
      <c r="A369" s="13" t="s">
        <v>29</v>
      </c>
      <c r="B369" s="28">
        <v>3916.09</v>
      </c>
      <c r="C369" s="28">
        <v>4.5079899999999999E-4</v>
      </c>
      <c r="D369" s="28" t="s">
        <v>49</v>
      </c>
    </row>
    <row r="370" spans="1:4" x14ac:dyDescent="0.2">
      <c r="A370" s="13" t="s">
        <v>29</v>
      </c>
      <c r="B370" s="28">
        <v>4328.3100000000004</v>
      </c>
      <c r="C370" s="28">
        <v>4.5196E-4</v>
      </c>
      <c r="D370" s="28" t="s">
        <v>49</v>
      </c>
    </row>
    <row r="371" spans="1:4" x14ac:dyDescent="0.2">
      <c r="A371" s="13" t="s">
        <v>29</v>
      </c>
      <c r="B371" s="28">
        <v>4328.3100000000004</v>
      </c>
      <c r="C371" s="28">
        <v>3.9624700000000002E-4</v>
      </c>
      <c r="D371" s="28" t="s">
        <v>49</v>
      </c>
    </row>
    <row r="372" spans="1:4" x14ac:dyDescent="0.2">
      <c r="A372" s="13" t="s">
        <v>29</v>
      </c>
      <c r="B372" s="28">
        <v>4740.53</v>
      </c>
      <c r="C372" s="28">
        <v>4.6672E-4</v>
      </c>
      <c r="D372" s="28" t="s">
        <v>49</v>
      </c>
    </row>
    <row r="373" spans="1:4" x14ac:dyDescent="0.2">
      <c r="A373" s="13" t="s">
        <v>29</v>
      </c>
      <c r="B373" s="28">
        <v>4740.53</v>
      </c>
      <c r="C373" s="28">
        <v>4.3613499999999998E-4</v>
      </c>
      <c r="D373" s="28" t="s">
        <v>49</v>
      </c>
    </row>
    <row r="374" spans="1:4" x14ac:dyDescent="0.2">
      <c r="A374" s="13" t="s">
        <v>29</v>
      </c>
      <c r="B374" s="28">
        <v>5152.75</v>
      </c>
      <c r="C374" s="28">
        <v>4.32538E-4</v>
      </c>
      <c r="D374" s="28" t="s">
        <v>49</v>
      </c>
    </row>
    <row r="375" spans="1:4" x14ac:dyDescent="0.2">
      <c r="A375" s="13" t="s">
        <v>29</v>
      </c>
      <c r="B375" s="28">
        <v>5152.75</v>
      </c>
      <c r="C375" s="28">
        <v>3.9990099999999998E-4</v>
      </c>
      <c r="D375" s="28" t="s">
        <v>49</v>
      </c>
    </row>
    <row r="376" spans="1:4" x14ac:dyDescent="0.2">
      <c r="A376" s="13" t="s">
        <v>29</v>
      </c>
      <c r="B376" s="28">
        <v>0</v>
      </c>
      <c r="C376" s="19">
        <v>6.2285099999999996E-6</v>
      </c>
      <c r="D376" s="28" t="s">
        <v>50</v>
      </c>
    </row>
    <row r="377" spans="1:4" x14ac:dyDescent="0.2">
      <c r="A377" s="13" t="s">
        <v>29</v>
      </c>
      <c r="B377" s="28">
        <v>51.527500000000003</v>
      </c>
      <c r="C377" s="19">
        <v>5.2480999999999998E-6</v>
      </c>
      <c r="D377" s="28" t="s">
        <v>50</v>
      </c>
    </row>
    <row r="378" spans="1:4" x14ac:dyDescent="0.2">
      <c r="A378" s="13" t="s">
        <v>29</v>
      </c>
      <c r="B378" s="28">
        <v>103.05500000000001</v>
      </c>
      <c r="C378" s="19">
        <v>2.28763E-5</v>
      </c>
      <c r="D378" s="28" t="s">
        <v>50</v>
      </c>
    </row>
    <row r="379" spans="1:4" x14ac:dyDescent="0.2">
      <c r="A379" s="13" t="s">
        <v>29</v>
      </c>
      <c r="B379" s="28">
        <v>103.05500000000001</v>
      </c>
      <c r="C379" s="19">
        <v>6.7090999999999999E-6</v>
      </c>
      <c r="D379" s="28" t="s">
        <v>50</v>
      </c>
    </row>
    <row r="380" spans="1:4" x14ac:dyDescent="0.2">
      <c r="A380" s="13" t="s">
        <v>29</v>
      </c>
      <c r="B380" s="28">
        <v>154.58250000000001</v>
      </c>
      <c r="C380" s="19">
        <v>5.18562E-5</v>
      </c>
      <c r="D380" s="28" t="s">
        <v>50</v>
      </c>
    </row>
    <row r="381" spans="1:4" x14ac:dyDescent="0.2">
      <c r="A381" s="13" t="s">
        <v>29</v>
      </c>
      <c r="B381" s="28">
        <v>154.58250000000001</v>
      </c>
      <c r="C381" s="19">
        <v>2.34819E-5</v>
      </c>
      <c r="D381" s="28" t="s">
        <v>50</v>
      </c>
    </row>
    <row r="382" spans="1:4" x14ac:dyDescent="0.2">
      <c r="A382" s="13" t="s">
        <v>29</v>
      </c>
      <c r="B382" s="28">
        <v>206.11</v>
      </c>
      <c r="C382" s="19">
        <v>8.3661900000000006E-5</v>
      </c>
      <c r="D382" s="28" t="s">
        <v>50</v>
      </c>
    </row>
    <row r="383" spans="1:4" x14ac:dyDescent="0.2">
      <c r="A383" s="13" t="s">
        <v>29</v>
      </c>
      <c r="B383" s="28">
        <v>206.11</v>
      </c>
      <c r="C383" s="19">
        <v>4.1465699999999998E-5</v>
      </c>
      <c r="D383" s="28" t="s">
        <v>50</v>
      </c>
    </row>
    <row r="384" spans="1:4" x14ac:dyDescent="0.2">
      <c r="A384" s="13" t="s">
        <v>29</v>
      </c>
      <c r="B384" s="28">
        <v>309.16500000000002</v>
      </c>
      <c r="C384" s="28">
        <v>1.39968E-4</v>
      </c>
      <c r="D384" s="28" t="s">
        <v>50</v>
      </c>
    </row>
    <row r="385" spans="1:4" x14ac:dyDescent="0.2">
      <c r="A385" s="13" t="s">
        <v>29</v>
      </c>
      <c r="B385" s="28">
        <v>309.16500000000002</v>
      </c>
      <c r="C385" s="19">
        <v>9.6964800000000004E-5</v>
      </c>
      <c r="D385" s="28" t="s">
        <v>50</v>
      </c>
    </row>
    <row r="386" spans="1:4" x14ac:dyDescent="0.2">
      <c r="A386" s="13" t="s">
        <v>29</v>
      </c>
      <c r="B386" s="28">
        <v>412.22</v>
      </c>
      <c r="C386" s="28">
        <v>2.0144600000000001E-4</v>
      </c>
      <c r="D386" s="28" t="s">
        <v>50</v>
      </c>
    </row>
    <row r="387" spans="1:4" x14ac:dyDescent="0.2">
      <c r="A387" s="13" t="s">
        <v>29</v>
      </c>
      <c r="B387" s="28">
        <v>412.22</v>
      </c>
      <c r="C387" s="28">
        <v>1.6308499999999999E-4</v>
      </c>
      <c r="D387" s="28" t="s">
        <v>50</v>
      </c>
    </row>
    <row r="388" spans="1:4" x14ac:dyDescent="0.2">
      <c r="A388" s="13" t="s">
        <v>29</v>
      </c>
      <c r="B388" s="28">
        <v>515.27499999999998</v>
      </c>
      <c r="C388" s="28">
        <v>2.6955600000000001E-4</v>
      </c>
      <c r="D388" s="28" t="s">
        <v>50</v>
      </c>
    </row>
    <row r="389" spans="1:4" x14ac:dyDescent="0.2">
      <c r="A389" s="13" t="s">
        <v>29</v>
      </c>
      <c r="B389" s="28">
        <v>515.27499999999998</v>
      </c>
      <c r="C389" s="28">
        <v>2.1546E-4</v>
      </c>
      <c r="D389" s="28" t="s">
        <v>50</v>
      </c>
    </row>
    <row r="390" spans="1:4" x14ac:dyDescent="0.2">
      <c r="A390" s="13" t="s">
        <v>29</v>
      </c>
      <c r="B390" s="28">
        <v>618.33000000000004</v>
      </c>
      <c r="C390" s="28">
        <v>3.3884799999999999E-4</v>
      </c>
      <c r="D390" s="28" t="s">
        <v>50</v>
      </c>
    </row>
    <row r="391" spans="1:4" x14ac:dyDescent="0.2">
      <c r="A391" s="13" t="s">
        <v>29</v>
      </c>
      <c r="B391" s="28">
        <v>618.33000000000004</v>
      </c>
      <c r="C391" s="28">
        <v>2.5601299999999998E-4</v>
      </c>
      <c r="D391" s="28" t="s">
        <v>50</v>
      </c>
    </row>
    <row r="392" spans="1:4" x14ac:dyDescent="0.2">
      <c r="A392" s="13" t="s">
        <v>29</v>
      </c>
      <c r="B392" s="28">
        <v>721.38499999999999</v>
      </c>
      <c r="C392" s="28">
        <v>3.14665E-4</v>
      </c>
      <c r="D392" s="28" t="s">
        <v>50</v>
      </c>
    </row>
    <row r="393" spans="1:4" x14ac:dyDescent="0.2">
      <c r="A393" s="13" t="s">
        <v>29</v>
      </c>
      <c r="B393" s="28">
        <v>721.38499999999999</v>
      </c>
      <c r="C393" s="28">
        <v>2.9099099999999999E-4</v>
      </c>
      <c r="D393" s="28" t="s">
        <v>50</v>
      </c>
    </row>
    <row r="394" spans="1:4" x14ac:dyDescent="0.2">
      <c r="A394" s="13" t="s">
        <v>29</v>
      </c>
      <c r="B394" s="28">
        <v>824.44</v>
      </c>
      <c r="C394" s="28">
        <v>3.7255699999999998E-4</v>
      </c>
      <c r="D394" s="28" t="s">
        <v>50</v>
      </c>
    </row>
    <row r="395" spans="1:4" x14ac:dyDescent="0.2">
      <c r="A395" s="13" t="s">
        <v>29</v>
      </c>
      <c r="B395" s="28">
        <v>824.44</v>
      </c>
      <c r="C395" s="28">
        <v>3.4429799999999999E-4</v>
      </c>
      <c r="D395" s="28" t="s">
        <v>50</v>
      </c>
    </row>
    <row r="396" spans="1:4" x14ac:dyDescent="0.2">
      <c r="A396" s="13" t="s">
        <v>29</v>
      </c>
      <c r="B396" s="28">
        <v>927.495</v>
      </c>
      <c r="C396" s="28">
        <v>3.6721300000000002E-4</v>
      </c>
      <c r="D396" s="28" t="s">
        <v>50</v>
      </c>
    </row>
    <row r="397" spans="1:4" x14ac:dyDescent="0.2">
      <c r="A397" s="13" t="s">
        <v>29</v>
      </c>
      <c r="B397" s="28">
        <v>927.495</v>
      </c>
      <c r="C397" s="28">
        <v>2.9942E-4</v>
      </c>
      <c r="D397" s="28" t="s">
        <v>50</v>
      </c>
    </row>
    <row r="398" spans="1:4" x14ac:dyDescent="0.2">
      <c r="A398" s="13" t="s">
        <v>29</v>
      </c>
      <c r="B398" s="28">
        <v>1030.55</v>
      </c>
      <c r="C398" s="28">
        <v>4.0051799999999999E-4</v>
      </c>
      <c r="D398" s="28" t="s">
        <v>50</v>
      </c>
    </row>
    <row r="399" spans="1:4" x14ac:dyDescent="0.2">
      <c r="A399" s="13" t="s">
        <v>29</v>
      </c>
      <c r="B399" s="28">
        <v>1030.55</v>
      </c>
      <c r="C399" s="28">
        <v>2.8828000000000002E-4</v>
      </c>
      <c r="D399" s="28" t="s">
        <v>50</v>
      </c>
    </row>
    <row r="400" spans="1:4" x14ac:dyDescent="0.2">
      <c r="A400" s="13" t="s">
        <v>29</v>
      </c>
      <c r="B400" s="28">
        <v>1236.6600000000001</v>
      </c>
      <c r="C400" s="28">
        <v>4.0745799999999997E-4</v>
      </c>
      <c r="D400" s="28" t="s">
        <v>50</v>
      </c>
    </row>
    <row r="401" spans="1:4" x14ac:dyDescent="0.2">
      <c r="A401" s="13" t="s">
        <v>29</v>
      </c>
      <c r="B401" s="28">
        <v>1236.6600000000001</v>
      </c>
      <c r="C401" s="28">
        <v>3.0463899999999999E-4</v>
      </c>
      <c r="D401" s="28" t="s">
        <v>50</v>
      </c>
    </row>
    <row r="402" spans="1:4" x14ac:dyDescent="0.2">
      <c r="A402" s="13" t="s">
        <v>29</v>
      </c>
      <c r="B402" s="28">
        <v>1442.77</v>
      </c>
      <c r="C402" s="28">
        <v>3.6094600000000001E-4</v>
      </c>
      <c r="D402" s="28" t="s">
        <v>50</v>
      </c>
    </row>
    <row r="403" spans="1:4" x14ac:dyDescent="0.2">
      <c r="A403" s="13" t="s">
        <v>29</v>
      </c>
      <c r="B403" s="28">
        <v>1442.77</v>
      </c>
      <c r="C403" s="28">
        <v>3.3589699999999999E-4</v>
      </c>
      <c r="D403" s="28" t="s">
        <v>50</v>
      </c>
    </row>
    <row r="404" spans="1:4" x14ac:dyDescent="0.2">
      <c r="A404" s="13" t="s">
        <v>29</v>
      </c>
      <c r="B404" s="28">
        <v>1648.88</v>
      </c>
      <c r="C404" s="28">
        <v>3.2098899999999999E-4</v>
      </c>
      <c r="D404" s="28" t="s">
        <v>50</v>
      </c>
    </row>
    <row r="405" spans="1:4" x14ac:dyDescent="0.2">
      <c r="A405" s="13" t="s">
        <v>29</v>
      </c>
      <c r="B405" s="28">
        <v>1648.88</v>
      </c>
      <c r="C405" s="28">
        <v>3.0843599999999999E-4</v>
      </c>
      <c r="D405" s="28" t="s">
        <v>50</v>
      </c>
    </row>
    <row r="406" spans="1:4" x14ac:dyDescent="0.2">
      <c r="A406" s="13" t="s">
        <v>29</v>
      </c>
      <c r="B406" s="28">
        <v>1854.99</v>
      </c>
      <c r="C406" s="28">
        <v>3.6503099999999998E-4</v>
      </c>
      <c r="D406" s="28" t="s">
        <v>50</v>
      </c>
    </row>
    <row r="407" spans="1:4" x14ac:dyDescent="0.2">
      <c r="A407" s="13" t="s">
        <v>29</v>
      </c>
      <c r="B407" s="28">
        <v>1854.99</v>
      </c>
      <c r="C407" s="28">
        <v>3.10964E-4</v>
      </c>
      <c r="D407" s="28" t="s">
        <v>50</v>
      </c>
    </row>
    <row r="408" spans="1:4" x14ac:dyDescent="0.2">
      <c r="A408" s="13" t="s">
        <v>29</v>
      </c>
      <c r="B408" s="28">
        <v>2061.1</v>
      </c>
      <c r="C408" s="28">
        <v>3.4561500000000002E-4</v>
      </c>
      <c r="D408" s="28" t="s">
        <v>50</v>
      </c>
    </row>
    <row r="409" spans="1:4" x14ac:dyDescent="0.2">
      <c r="A409" s="13" t="s">
        <v>29</v>
      </c>
      <c r="B409" s="28">
        <v>2061.1</v>
      </c>
      <c r="C409" s="28">
        <v>3.0053499999999999E-4</v>
      </c>
      <c r="D409" s="28" t="s">
        <v>50</v>
      </c>
    </row>
    <row r="410" spans="1:4" x14ac:dyDescent="0.2">
      <c r="A410" s="13" t="s">
        <v>29</v>
      </c>
      <c r="B410" s="28">
        <v>2267.21</v>
      </c>
      <c r="C410" s="28">
        <v>3.2568000000000001E-4</v>
      </c>
      <c r="D410" s="28" t="s">
        <v>50</v>
      </c>
    </row>
    <row r="411" spans="1:4" x14ac:dyDescent="0.2">
      <c r="A411" s="13" t="s">
        <v>29</v>
      </c>
      <c r="B411" s="28">
        <v>2267.21</v>
      </c>
      <c r="C411" s="28">
        <v>3.3163000000000002E-4</v>
      </c>
      <c r="D411" s="28" t="s">
        <v>50</v>
      </c>
    </row>
    <row r="412" spans="1:4" x14ac:dyDescent="0.2">
      <c r="A412" s="13" t="s">
        <v>29</v>
      </c>
      <c r="B412" s="28">
        <v>2679.43</v>
      </c>
      <c r="C412" s="28">
        <v>3.3893500000000001E-4</v>
      </c>
      <c r="D412" s="28" t="s">
        <v>50</v>
      </c>
    </row>
    <row r="413" spans="1:4" x14ac:dyDescent="0.2">
      <c r="A413" s="13" t="s">
        <v>29</v>
      </c>
      <c r="B413" s="28">
        <v>2679.43</v>
      </c>
      <c r="C413" s="28">
        <v>3.1708700000000002E-4</v>
      </c>
      <c r="D413" s="28" t="s">
        <v>50</v>
      </c>
    </row>
    <row r="414" spans="1:4" x14ac:dyDescent="0.2">
      <c r="A414" s="13" t="s">
        <v>29</v>
      </c>
      <c r="B414" s="28">
        <v>3091.65</v>
      </c>
      <c r="C414" s="28">
        <v>3.2188300000000002E-4</v>
      </c>
      <c r="D414" s="28" t="s">
        <v>50</v>
      </c>
    </row>
    <row r="415" spans="1:4" x14ac:dyDescent="0.2">
      <c r="A415" s="13" t="s">
        <v>29</v>
      </c>
      <c r="B415" s="28">
        <v>3091.65</v>
      </c>
      <c r="C415" s="28">
        <v>3.4532699999999998E-4</v>
      </c>
      <c r="D415" s="28" t="s">
        <v>50</v>
      </c>
    </row>
    <row r="416" spans="1:4" x14ac:dyDescent="0.2">
      <c r="A416" s="13" t="s">
        <v>29</v>
      </c>
      <c r="B416" s="28">
        <v>3503.87</v>
      </c>
      <c r="C416" s="28">
        <v>3.4085700000000002E-4</v>
      </c>
      <c r="D416" s="28" t="s">
        <v>50</v>
      </c>
    </row>
    <row r="417" spans="1:4" x14ac:dyDescent="0.2">
      <c r="A417" s="13" t="s">
        <v>29</v>
      </c>
      <c r="B417" s="28">
        <v>3503.87</v>
      </c>
      <c r="C417" s="28">
        <v>3.2086400000000002E-4</v>
      </c>
      <c r="D417" s="28" t="s">
        <v>50</v>
      </c>
    </row>
    <row r="418" spans="1:4" x14ac:dyDescent="0.2">
      <c r="A418" s="13" t="s">
        <v>29</v>
      </c>
      <c r="B418" s="28">
        <v>3916.09</v>
      </c>
      <c r="C418" s="28">
        <v>3.2935199999999999E-4</v>
      </c>
      <c r="D418" s="28" t="s">
        <v>50</v>
      </c>
    </row>
    <row r="419" spans="1:4" x14ac:dyDescent="0.2">
      <c r="A419" s="13" t="s">
        <v>29</v>
      </c>
      <c r="B419" s="28">
        <v>3916.09</v>
      </c>
      <c r="C419" s="28">
        <v>3.2967800000000002E-4</v>
      </c>
      <c r="D419" s="28" t="s">
        <v>50</v>
      </c>
    </row>
    <row r="420" spans="1:4" x14ac:dyDescent="0.2">
      <c r="A420" s="13" t="s">
        <v>29</v>
      </c>
      <c r="B420" s="28">
        <v>4328.3100000000004</v>
      </c>
      <c r="C420" s="28">
        <v>3.3024600000000002E-4</v>
      </c>
      <c r="D420" s="28" t="s">
        <v>50</v>
      </c>
    </row>
    <row r="421" spans="1:4" x14ac:dyDescent="0.2">
      <c r="A421" s="13" t="s">
        <v>29</v>
      </c>
      <c r="B421" s="28">
        <v>4328.3100000000004</v>
      </c>
      <c r="C421" s="28">
        <v>2.9299000000000003E-4</v>
      </c>
      <c r="D421" s="28" t="s">
        <v>50</v>
      </c>
    </row>
    <row r="422" spans="1:4" x14ac:dyDescent="0.2">
      <c r="A422" s="13" t="s">
        <v>29</v>
      </c>
      <c r="B422" s="28">
        <v>4740.53</v>
      </c>
      <c r="C422" s="28">
        <v>3.3806999999999999E-4</v>
      </c>
      <c r="D422" s="28" t="s">
        <v>50</v>
      </c>
    </row>
    <row r="423" spans="1:4" x14ac:dyDescent="0.2">
      <c r="A423" s="13" t="s">
        <v>29</v>
      </c>
      <c r="B423" s="28">
        <v>4740.53</v>
      </c>
      <c r="C423" s="28">
        <v>3.1422299999999998E-4</v>
      </c>
      <c r="D423" s="28" t="s">
        <v>50</v>
      </c>
    </row>
    <row r="424" spans="1:4" x14ac:dyDescent="0.2">
      <c r="A424" s="13" t="s">
        <v>29</v>
      </c>
      <c r="B424" s="28">
        <v>5152.75</v>
      </c>
      <c r="C424" s="28">
        <v>3.0810899999999999E-4</v>
      </c>
      <c r="D424" s="28" t="s">
        <v>50</v>
      </c>
    </row>
    <row r="425" spans="1:4" x14ac:dyDescent="0.2">
      <c r="A425" s="13" t="s">
        <v>29</v>
      </c>
      <c r="B425" s="28">
        <v>5152.75</v>
      </c>
      <c r="C425" s="28">
        <v>2.9011599999999999E-4</v>
      </c>
      <c r="D425" s="28" t="s">
        <v>50</v>
      </c>
    </row>
    <row r="426" spans="1:4" x14ac:dyDescent="0.2">
      <c r="A426" s="13" t="s">
        <v>29</v>
      </c>
      <c r="B426" s="28">
        <v>0</v>
      </c>
      <c r="C426" s="19">
        <v>7.7002199999999993E-6</v>
      </c>
      <c r="D426" s="28" t="s">
        <v>57</v>
      </c>
    </row>
    <row r="427" spans="1:4" x14ac:dyDescent="0.2">
      <c r="A427" s="13" t="s">
        <v>29</v>
      </c>
      <c r="B427" s="28">
        <v>51.527500000000003</v>
      </c>
      <c r="C427" s="19">
        <v>1.3097200000000001E-5</v>
      </c>
      <c r="D427" s="28" t="s">
        <v>57</v>
      </c>
    </row>
    <row r="428" spans="1:4" x14ac:dyDescent="0.2">
      <c r="A428" s="13" t="s">
        <v>29</v>
      </c>
      <c r="B428" s="28">
        <v>103.05500000000001</v>
      </c>
      <c r="C428" s="19">
        <v>1.09013E-5</v>
      </c>
      <c r="D428" s="28" t="s">
        <v>57</v>
      </c>
    </row>
    <row r="429" spans="1:4" x14ac:dyDescent="0.2">
      <c r="A429" s="13" t="s">
        <v>29</v>
      </c>
      <c r="B429" s="28">
        <v>103.05500000000001</v>
      </c>
      <c r="C429" s="19">
        <v>5.6897699999999997E-6</v>
      </c>
      <c r="D429" s="28" t="s">
        <v>57</v>
      </c>
    </row>
    <row r="430" spans="1:4" x14ac:dyDescent="0.2">
      <c r="A430" s="13" t="s">
        <v>29</v>
      </c>
      <c r="B430" s="28">
        <v>154.58250000000001</v>
      </c>
      <c r="C430" s="19">
        <v>1.8728399999999998E-5</v>
      </c>
      <c r="D430" s="28" t="s">
        <v>57</v>
      </c>
    </row>
    <row r="431" spans="1:4" x14ac:dyDescent="0.2">
      <c r="A431" s="13" t="s">
        <v>29</v>
      </c>
      <c r="B431" s="28">
        <v>154.58250000000001</v>
      </c>
      <c r="C431" s="19">
        <v>7.0268199999999999E-6</v>
      </c>
      <c r="D431" s="28" t="s">
        <v>57</v>
      </c>
    </row>
    <row r="432" spans="1:4" x14ac:dyDescent="0.2">
      <c r="A432" s="13" t="s">
        <v>29</v>
      </c>
      <c r="B432" s="28">
        <v>206.11</v>
      </c>
      <c r="C432" s="19">
        <v>1.5976300000000002E-5</v>
      </c>
      <c r="D432" s="28" t="s">
        <v>57</v>
      </c>
    </row>
    <row r="433" spans="1:4" x14ac:dyDescent="0.2">
      <c r="A433" s="13" t="s">
        <v>29</v>
      </c>
      <c r="B433" s="28">
        <v>206.11</v>
      </c>
      <c r="C433" s="19">
        <v>7.0072999999999998E-6</v>
      </c>
      <c r="D433" s="28" t="s">
        <v>57</v>
      </c>
    </row>
    <row r="434" spans="1:4" x14ac:dyDescent="0.2">
      <c r="A434" s="13" t="s">
        <v>29</v>
      </c>
      <c r="B434" s="28">
        <v>309.16500000000002</v>
      </c>
      <c r="C434" s="19">
        <v>1.9489700000000001E-5</v>
      </c>
      <c r="D434" s="28" t="s">
        <v>57</v>
      </c>
    </row>
    <row r="435" spans="1:4" x14ac:dyDescent="0.2">
      <c r="A435" s="13" t="s">
        <v>29</v>
      </c>
      <c r="B435" s="28">
        <v>309.16500000000002</v>
      </c>
      <c r="C435" s="19">
        <v>6.7437899999999999E-6</v>
      </c>
      <c r="D435" s="28" t="s">
        <v>57</v>
      </c>
    </row>
    <row r="436" spans="1:4" x14ac:dyDescent="0.2">
      <c r="A436" s="13" t="s">
        <v>29</v>
      </c>
      <c r="B436" s="28">
        <v>412.22</v>
      </c>
      <c r="C436" s="19">
        <v>3.00104E-5</v>
      </c>
      <c r="D436" s="28" t="s">
        <v>57</v>
      </c>
    </row>
    <row r="437" spans="1:4" x14ac:dyDescent="0.2">
      <c r="A437" s="13" t="s">
        <v>29</v>
      </c>
      <c r="B437" s="28">
        <v>412.22</v>
      </c>
      <c r="C437" s="19">
        <v>1.3702299999999999E-5</v>
      </c>
      <c r="D437" s="28" t="s">
        <v>57</v>
      </c>
    </row>
    <row r="438" spans="1:4" x14ac:dyDescent="0.2">
      <c r="A438" s="13" t="s">
        <v>29</v>
      </c>
      <c r="B438" s="28">
        <v>515.27499999999998</v>
      </c>
      <c r="C438" s="19">
        <v>2.48574E-5</v>
      </c>
      <c r="D438" s="28" t="s">
        <v>57</v>
      </c>
    </row>
    <row r="439" spans="1:4" x14ac:dyDescent="0.2">
      <c r="A439" s="13" t="s">
        <v>29</v>
      </c>
      <c r="B439" s="28">
        <v>515.27499999999998</v>
      </c>
      <c r="C439" s="19">
        <v>3.9125699999999997E-5</v>
      </c>
      <c r="D439" s="28" t="s">
        <v>57</v>
      </c>
    </row>
    <row r="440" spans="1:4" x14ac:dyDescent="0.2">
      <c r="A440" s="13" t="s">
        <v>29</v>
      </c>
      <c r="B440" s="28">
        <v>618.33000000000004</v>
      </c>
      <c r="C440" s="19">
        <v>3.43924E-5</v>
      </c>
      <c r="D440" s="28" t="s">
        <v>57</v>
      </c>
    </row>
    <row r="441" spans="1:4" x14ac:dyDescent="0.2">
      <c r="A441" s="13" t="s">
        <v>29</v>
      </c>
      <c r="B441" s="28">
        <v>618.33000000000004</v>
      </c>
      <c r="C441" s="19">
        <v>4.5157100000000002E-5</v>
      </c>
      <c r="D441" s="28" t="s">
        <v>57</v>
      </c>
    </row>
    <row r="442" spans="1:4" x14ac:dyDescent="0.2">
      <c r="A442" s="13" t="s">
        <v>29</v>
      </c>
      <c r="B442" s="28">
        <v>721.38499999999999</v>
      </c>
      <c r="C442" s="19">
        <v>3.8081499999999998E-5</v>
      </c>
      <c r="D442" s="28" t="s">
        <v>57</v>
      </c>
    </row>
    <row r="443" spans="1:4" x14ac:dyDescent="0.2">
      <c r="A443" s="13" t="s">
        <v>29</v>
      </c>
      <c r="B443" s="28">
        <v>721.38499999999999</v>
      </c>
      <c r="C443" s="19">
        <v>5.72491E-5</v>
      </c>
      <c r="D443" s="28" t="s">
        <v>57</v>
      </c>
    </row>
    <row r="444" spans="1:4" x14ac:dyDescent="0.2">
      <c r="A444" s="13" t="s">
        <v>29</v>
      </c>
      <c r="B444" s="28">
        <v>824.44</v>
      </c>
      <c r="C444" s="19">
        <v>5.5072699999999999E-5</v>
      </c>
      <c r="D444" s="28" t="s">
        <v>57</v>
      </c>
    </row>
    <row r="445" spans="1:4" x14ac:dyDescent="0.2">
      <c r="A445" s="13" t="s">
        <v>29</v>
      </c>
      <c r="B445" s="28">
        <v>824.44</v>
      </c>
      <c r="C445" s="19">
        <v>7.39768E-5</v>
      </c>
      <c r="D445" s="28" t="s">
        <v>57</v>
      </c>
    </row>
    <row r="446" spans="1:4" x14ac:dyDescent="0.2">
      <c r="A446" s="13" t="s">
        <v>29</v>
      </c>
      <c r="B446" s="28">
        <v>927.495</v>
      </c>
      <c r="C446" s="19">
        <v>6.9048300000000001E-5</v>
      </c>
      <c r="D446" s="28" t="s">
        <v>57</v>
      </c>
    </row>
    <row r="447" spans="1:4" x14ac:dyDescent="0.2">
      <c r="A447" s="13" t="s">
        <v>29</v>
      </c>
      <c r="B447" s="28">
        <v>927.495</v>
      </c>
      <c r="C447" s="19">
        <v>8.7581499999999995E-5</v>
      </c>
      <c r="D447" s="28" t="s">
        <v>57</v>
      </c>
    </row>
    <row r="448" spans="1:4" x14ac:dyDescent="0.2">
      <c r="A448" s="13" t="s">
        <v>29</v>
      </c>
      <c r="B448" s="28">
        <v>1030.55</v>
      </c>
      <c r="C448" s="19">
        <v>9.0597200000000001E-5</v>
      </c>
      <c r="D448" s="28" t="s">
        <v>57</v>
      </c>
    </row>
    <row r="449" spans="1:4" x14ac:dyDescent="0.2">
      <c r="A449" s="13" t="s">
        <v>29</v>
      </c>
      <c r="B449" s="28">
        <v>1030.55</v>
      </c>
      <c r="C449" s="28">
        <v>1.01186E-4</v>
      </c>
      <c r="D449" s="28" t="s">
        <v>57</v>
      </c>
    </row>
    <row r="450" spans="1:4" x14ac:dyDescent="0.2">
      <c r="A450" s="13" t="s">
        <v>29</v>
      </c>
      <c r="B450" s="28">
        <v>1236.6600000000001</v>
      </c>
      <c r="C450" s="28">
        <v>1.3523699999999999E-4</v>
      </c>
      <c r="D450" s="28" t="s">
        <v>57</v>
      </c>
    </row>
    <row r="451" spans="1:4" x14ac:dyDescent="0.2">
      <c r="A451" s="13" t="s">
        <v>29</v>
      </c>
      <c r="B451" s="28">
        <v>1236.6600000000001</v>
      </c>
      <c r="C451" s="28">
        <v>1.14869E-4</v>
      </c>
      <c r="D451" s="28" t="s">
        <v>57</v>
      </c>
    </row>
    <row r="452" spans="1:4" x14ac:dyDescent="0.2">
      <c r="A452" s="13" t="s">
        <v>29</v>
      </c>
      <c r="B452" s="28">
        <v>1442.77</v>
      </c>
      <c r="C452" s="28">
        <v>1.7351399999999999E-4</v>
      </c>
      <c r="D452" s="28" t="s">
        <v>57</v>
      </c>
    </row>
    <row r="453" spans="1:4" x14ac:dyDescent="0.2">
      <c r="A453" s="13" t="s">
        <v>29</v>
      </c>
      <c r="B453" s="28">
        <v>1442.77</v>
      </c>
      <c r="C453" s="28">
        <v>1.6120699999999999E-4</v>
      </c>
      <c r="D453" s="28" t="s">
        <v>57</v>
      </c>
    </row>
    <row r="454" spans="1:4" x14ac:dyDescent="0.2">
      <c r="A454" s="13" t="s">
        <v>29</v>
      </c>
      <c r="B454" s="28">
        <v>1648.88</v>
      </c>
      <c r="C454" s="28">
        <v>1.77749E-4</v>
      </c>
      <c r="D454" s="28" t="s">
        <v>57</v>
      </c>
    </row>
    <row r="455" spans="1:4" x14ac:dyDescent="0.2">
      <c r="A455" s="13" t="s">
        <v>29</v>
      </c>
      <c r="B455" s="28">
        <v>1648.88</v>
      </c>
      <c r="C455" s="28">
        <v>1.8185799999999999E-4</v>
      </c>
      <c r="D455" s="28" t="s">
        <v>57</v>
      </c>
    </row>
    <row r="456" spans="1:4" x14ac:dyDescent="0.2">
      <c r="A456" s="13" t="s">
        <v>29</v>
      </c>
      <c r="B456" s="28">
        <v>1854.99</v>
      </c>
      <c r="C456" s="28">
        <v>2.4632899999999999E-4</v>
      </c>
      <c r="D456" s="28" t="s">
        <v>57</v>
      </c>
    </row>
    <row r="457" spans="1:4" x14ac:dyDescent="0.2">
      <c r="A457" s="13" t="s">
        <v>29</v>
      </c>
      <c r="B457" s="28">
        <v>1854.99</v>
      </c>
      <c r="C457" s="28">
        <v>2.0114300000000001E-4</v>
      </c>
      <c r="D457" s="28" t="s">
        <v>57</v>
      </c>
    </row>
    <row r="458" spans="1:4" x14ac:dyDescent="0.2">
      <c r="A458" s="13" t="s">
        <v>29</v>
      </c>
      <c r="B458" s="28">
        <v>2061.1</v>
      </c>
      <c r="C458" s="28">
        <v>2.6007E-4</v>
      </c>
      <c r="D458" s="28" t="s">
        <v>57</v>
      </c>
    </row>
    <row r="459" spans="1:4" x14ac:dyDescent="0.2">
      <c r="A459" s="13" t="s">
        <v>29</v>
      </c>
      <c r="B459" s="28">
        <v>2061.1</v>
      </c>
      <c r="C459" s="28">
        <v>2.33544E-4</v>
      </c>
      <c r="D459" s="28" t="s">
        <v>57</v>
      </c>
    </row>
    <row r="460" spans="1:4" x14ac:dyDescent="0.2">
      <c r="A460" s="13" t="s">
        <v>29</v>
      </c>
      <c r="B460" s="28">
        <v>2267.21</v>
      </c>
      <c r="C460" s="28">
        <v>2.6876599999999998E-4</v>
      </c>
      <c r="D460" s="28" t="s">
        <v>57</v>
      </c>
    </row>
    <row r="461" spans="1:4" x14ac:dyDescent="0.2">
      <c r="A461" s="13" t="s">
        <v>29</v>
      </c>
      <c r="B461" s="28">
        <v>2267.21</v>
      </c>
      <c r="C461" s="28">
        <v>2.7108900000000002E-4</v>
      </c>
      <c r="D461" s="28" t="s">
        <v>57</v>
      </c>
    </row>
    <row r="462" spans="1:4" x14ac:dyDescent="0.2">
      <c r="A462" s="13" t="s">
        <v>29</v>
      </c>
      <c r="B462" s="28">
        <v>2679.43</v>
      </c>
      <c r="C462" s="28">
        <v>3.2905E-4</v>
      </c>
      <c r="D462" s="28" t="s">
        <v>57</v>
      </c>
    </row>
    <row r="463" spans="1:4" x14ac:dyDescent="0.2">
      <c r="A463" s="13" t="s">
        <v>29</v>
      </c>
      <c r="B463" s="28">
        <v>2679.43</v>
      </c>
      <c r="C463" s="28">
        <v>3.0755000000000002E-4</v>
      </c>
      <c r="D463" s="28" t="s">
        <v>57</v>
      </c>
    </row>
    <row r="464" spans="1:4" x14ac:dyDescent="0.2">
      <c r="A464" s="13" t="s">
        <v>29</v>
      </c>
      <c r="B464" s="28">
        <v>3091.65</v>
      </c>
      <c r="C464" s="28">
        <v>3.6186200000000001E-4</v>
      </c>
      <c r="D464" s="28" t="s">
        <v>57</v>
      </c>
    </row>
    <row r="465" spans="1:4" x14ac:dyDescent="0.2">
      <c r="A465" s="13" t="s">
        <v>29</v>
      </c>
      <c r="B465" s="28">
        <v>3091.65</v>
      </c>
      <c r="C465" s="28">
        <v>3.66361E-4</v>
      </c>
      <c r="D465" s="28" t="s">
        <v>57</v>
      </c>
    </row>
    <row r="466" spans="1:4" x14ac:dyDescent="0.2">
      <c r="A466" s="13" t="s">
        <v>29</v>
      </c>
      <c r="B466" s="28">
        <v>3503.87</v>
      </c>
      <c r="C466" s="28">
        <v>3.6945499999999998E-4</v>
      </c>
      <c r="D466" s="28" t="s">
        <v>57</v>
      </c>
    </row>
    <row r="467" spans="1:4" x14ac:dyDescent="0.2">
      <c r="A467" s="13" t="s">
        <v>29</v>
      </c>
      <c r="B467" s="28">
        <v>3503.87</v>
      </c>
      <c r="C467" s="28">
        <v>3.5489300000000001E-4</v>
      </c>
      <c r="D467" s="28" t="s">
        <v>57</v>
      </c>
    </row>
    <row r="468" spans="1:4" x14ac:dyDescent="0.2">
      <c r="A468" s="13" t="s">
        <v>29</v>
      </c>
      <c r="B468" s="28">
        <v>3916.09</v>
      </c>
      <c r="C468" s="28">
        <v>3.4887200000000002E-4</v>
      </c>
      <c r="D468" s="28" t="s">
        <v>57</v>
      </c>
    </row>
    <row r="469" spans="1:4" x14ac:dyDescent="0.2">
      <c r="A469" s="13" t="s">
        <v>29</v>
      </c>
      <c r="B469" s="28">
        <v>3916.09</v>
      </c>
      <c r="C469" s="28">
        <v>3.5859200000000003E-4</v>
      </c>
      <c r="D469" s="28" t="s">
        <v>57</v>
      </c>
    </row>
    <row r="470" spans="1:4" x14ac:dyDescent="0.2">
      <c r="A470" s="13" t="s">
        <v>29</v>
      </c>
      <c r="B470" s="28">
        <v>4328.3100000000004</v>
      </c>
      <c r="C470" s="28">
        <v>3.879E-4</v>
      </c>
      <c r="D470" s="28" t="s">
        <v>57</v>
      </c>
    </row>
    <row r="471" spans="1:4" x14ac:dyDescent="0.2">
      <c r="A471" s="13" t="s">
        <v>29</v>
      </c>
      <c r="B471" s="28">
        <v>4328.3100000000004</v>
      </c>
      <c r="C471" s="28">
        <v>3.3912200000000002E-4</v>
      </c>
      <c r="D471" s="28" t="s">
        <v>57</v>
      </c>
    </row>
    <row r="472" spans="1:4" x14ac:dyDescent="0.2">
      <c r="A472" s="13" t="s">
        <v>29</v>
      </c>
      <c r="B472" s="28">
        <v>4740.53</v>
      </c>
      <c r="C472" s="28">
        <v>4.1016099999999998E-4</v>
      </c>
      <c r="D472" s="28" t="s">
        <v>57</v>
      </c>
    </row>
    <row r="473" spans="1:4" x14ac:dyDescent="0.2">
      <c r="A473" s="13" t="s">
        <v>29</v>
      </c>
      <c r="B473" s="28">
        <v>4740.53</v>
      </c>
      <c r="C473" s="28">
        <v>3.45583E-4</v>
      </c>
      <c r="D473" s="28" t="s">
        <v>57</v>
      </c>
    </row>
    <row r="474" spans="1:4" x14ac:dyDescent="0.2">
      <c r="A474" s="13" t="s">
        <v>29</v>
      </c>
      <c r="B474" s="28">
        <v>5152.75</v>
      </c>
      <c r="C474" s="28">
        <v>3.3546200000000002E-4</v>
      </c>
      <c r="D474" s="28" t="s">
        <v>57</v>
      </c>
    </row>
    <row r="475" spans="1:4" x14ac:dyDescent="0.2">
      <c r="A475" s="13" t="s">
        <v>29</v>
      </c>
      <c r="B475" s="28">
        <v>5152.75</v>
      </c>
      <c r="C475" s="28">
        <v>3.0962900000000001E-4</v>
      </c>
      <c r="D475" s="28" t="s">
        <v>57</v>
      </c>
    </row>
    <row r="476" spans="1:4" x14ac:dyDescent="0.2">
      <c r="A476" s="13" t="s">
        <v>29</v>
      </c>
      <c r="B476" s="28">
        <v>0</v>
      </c>
      <c r="C476" s="19">
        <v>3.2836799999999999E-6</v>
      </c>
      <c r="D476" s="28" t="s">
        <v>51</v>
      </c>
    </row>
    <row r="477" spans="1:4" x14ac:dyDescent="0.2">
      <c r="A477" s="13" t="s">
        <v>29</v>
      </c>
      <c r="B477" s="28">
        <v>51.527500000000003</v>
      </c>
      <c r="C477" s="19">
        <v>1.1639599999999999E-6</v>
      </c>
      <c r="D477" s="28" t="s">
        <v>51</v>
      </c>
    </row>
    <row r="478" spans="1:4" x14ac:dyDescent="0.2">
      <c r="A478" s="13" t="s">
        <v>29</v>
      </c>
      <c r="B478" s="28">
        <v>103.05500000000001</v>
      </c>
      <c r="C478" s="19">
        <v>1.44785E-6</v>
      </c>
      <c r="D478" s="28" t="s">
        <v>51</v>
      </c>
    </row>
    <row r="479" spans="1:4" x14ac:dyDescent="0.2">
      <c r="A479" s="13" t="s">
        <v>29</v>
      </c>
      <c r="B479" s="28">
        <v>103.05500000000001</v>
      </c>
      <c r="C479" s="19">
        <v>1.3816100000000001E-6</v>
      </c>
      <c r="D479" s="28" t="s">
        <v>51</v>
      </c>
    </row>
    <row r="480" spans="1:4" x14ac:dyDescent="0.2">
      <c r="A480" s="13" t="s">
        <v>29</v>
      </c>
      <c r="B480" s="28">
        <v>154.58250000000001</v>
      </c>
      <c r="C480" s="19">
        <v>2.24274E-6</v>
      </c>
      <c r="D480" s="28" t="s">
        <v>51</v>
      </c>
    </row>
    <row r="481" spans="1:4" x14ac:dyDescent="0.2">
      <c r="A481" s="13" t="s">
        <v>29</v>
      </c>
      <c r="B481" s="28">
        <v>154.58250000000001</v>
      </c>
      <c r="C481" s="19">
        <v>1.21127E-6</v>
      </c>
      <c r="D481" s="28" t="s">
        <v>51</v>
      </c>
    </row>
    <row r="482" spans="1:4" x14ac:dyDescent="0.2">
      <c r="A482" s="13" t="s">
        <v>29</v>
      </c>
      <c r="B482" s="28">
        <v>206.11</v>
      </c>
      <c r="C482" s="19">
        <v>2.0629499999999999E-6</v>
      </c>
      <c r="D482" s="28" t="s">
        <v>51</v>
      </c>
    </row>
    <row r="483" spans="1:4" x14ac:dyDescent="0.2">
      <c r="A483" s="13" t="s">
        <v>29</v>
      </c>
      <c r="B483" s="28">
        <v>206.11</v>
      </c>
      <c r="C483" s="19">
        <v>1.44785E-6</v>
      </c>
      <c r="D483" s="28" t="s">
        <v>51</v>
      </c>
    </row>
    <row r="484" spans="1:4" x14ac:dyDescent="0.2">
      <c r="A484" s="13" t="s">
        <v>29</v>
      </c>
      <c r="B484" s="28">
        <v>309.16500000000002</v>
      </c>
      <c r="C484" s="19">
        <v>1.7411999999999999E-6</v>
      </c>
      <c r="D484" s="28" t="s">
        <v>51</v>
      </c>
    </row>
    <row r="485" spans="1:4" x14ac:dyDescent="0.2">
      <c r="A485" s="13" t="s">
        <v>29</v>
      </c>
      <c r="B485" s="28">
        <v>309.16500000000002</v>
      </c>
      <c r="C485" s="19">
        <v>1.2396599999999999E-6</v>
      </c>
      <c r="D485" s="28" t="s">
        <v>51</v>
      </c>
    </row>
    <row r="486" spans="1:4" x14ac:dyDescent="0.2">
      <c r="A486" s="13" t="s">
        <v>29</v>
      </c>
      <c r="B486" s="28">
        <v>412.22</v>
      </c>
      <c r="C486" s="19">
        <v>1.4289199999999999E-6</v>
      </c>
      <c r="D486" s="28" t="s">
        <v>51</v>
      </c>
    </row>
    <row r="487" spans="1:4" x14ac:dyDescent="0.2">
      <c r="A487" s="13" t="s">
        <v>29</v>
      </c>
      <c r="B487" s="28">
        <v>412.22</v>
      </c>
      <c r="C487" s="19">
        <v>1.3532199999999999E-6</v>
      </c>
      <c r="D487" s="28" t="s">
        <v>51</v>
      </c>
    </row>
    <row r="488" spans="1:4" x14ac:dyDescent="0.2">
      <c r="A488" s="13" t="s">
        <v>29</v>
      </c>
      <c r="B488" s="28">
        <v>515.27499999999998</v>
      </c>
      <c r="C488" s="19">
        <v>3.9555599999999996E-6</v>
      </c>
      <c r="D488" s="28" t="s">
        <v>51</v>
      </c>
    </row>
    <row r="489" spans="1:4" x14ac:dyDescent="0.2">
      <c r="A489" s="13" t="s">
        <v>29</v>
      </c>
      <c r="B489" s="28">
        <v>515.27499999999998</v>
      </c>
      <c r="C489" s="19">
        <v>1.5046299999999999E-6</v>
      </c>
      <c r="D489" s="28" t="s">
        <v>51</v>
      </c>
    </row>
    <row r="490" spans="1:4" x14ac:dyDescent="0.2">
      <c r="A490" s="13" t="s">
        <v>29</v>
      </c>
      <c r="B490" s="28">
        <v>618.33000000000004</v>
      </c>
      <c r="C490" s="19">
        <v>1.6181799999999999E-6</v>
      </c>
      <c r="D490" s="28" t="s">
        <v>51</v>
      </c>
    </row>
    <row r="491" spans="1:4" x14ac:dyDescent="0.2">
      <c r="A491" s="13" t="s">
        <v>29</v>
      </c>
      <c r="B491" s="28">
        <v>618.33000000000004</v>
      </c>
      <c r="C491" s="19">
        <v>1.67496E-6</v>
      </c>
      <c r="D491" s="28" t="s">
        <v>51</v>
      </c>
    </row>
    <row r="492" spans="1:4" x14ac:dyDescent="0.2">
      <c r="A492" s="13" t="s">
        <v>29</v>
      </c>
      <c r="B492" s="28">
        <v>721.38499999999999</v>
      </c>
      <c r="C492" s="19">
        <v>1.9399299999999998E-6</v>
      </c>
      <c r="D492" s="28" t="s">
        <v>51</v>
      </c>
    </row>
    <row r="493" spans="1:4" x14ac:dyDescent="0.2">
      <c r="A493" s="13" t="s">
        <v>29</v>
      </c>
      <c r="B493" s="28">
        <v>721.38499999999999</v>
      </c>
      <c r="C493" s="19">
        <v>2.0534800000000002E-6</v>
      </c>
      <c r="D493" s="28" t="s">
        <v>51</v>
      </c>
    </row>
    <row r="494" spans="1:4" x14ac:dyDescent="0.2">
      <c r="A494" s="13" t="s">
        <v>29</v>
      </c>
      <c r="B494" s="28">
        <v>824.44</v>
      </c>
      <c r="C494" s="19">
        <v>1.32483E-6</v>
      </c>
      <c r="D494" s="28" t="s">
        <v>51</v>
      </c>
    </row>
    <row r="495" spans="1:4" x14ac:dyDescent="0.2">
      <c r="A495" s="13" t="s">
        <v>29</v>
      </c>
      <c r="B495" s="28">
        <v>824.44</v>
      </c>
      <c r="C495" s="19">
        <v>2.30899E-6</v>
      </c>
      <c r="D495" s="28" t="s">
        <v>51</v>
      </c>
    </row>
    <row r="496" spans="1:4" x14ac:dyDescent="0.2">
      <c r="A496" s="13" t="s">
        <v>29</v>
      </c>
      <c r="B496" s="28">
        <v>927.495</v>
      </c>
      <c r="C496" s="19">
        <v>1.2775099999999999E-6</v>
      </c>
      <c r="D496" s="28" t="s">
        <v>51</v>
      </c>
    </row>
    <row r="497" spans="1:4" x14ac:dyDescent="0.2">
      <c r="A497" s="13" t="s">
        <v>29</v>
      </c>
      <c r="B497" s="28">
        <v>927.495</v>
      </c>
      <c r="C497" s="19">
        <v>2.04402E-6</v>
      </c>
      <c r="D497" s="28" t="s">
        <v>51</v>
      </c>
    </row>
    <row r="498" spans="1:4" x14ac:dyDescent="0.2">
      <c r="A498" s="13" t="s">
        <v>29</v>
      </c>
      <c r="B498" s="28">
        <v>1030.55</v>
      </c>
      <c r="C498" s="19">
        <v>1.4667700000000001E-6</v>
      </c>
      <c r="D498" s="28" t="s">
        <v>51</v>
      </c>
    </row>
    <row r="499" spans="1:4" x14ac:dyDescent="0.2">
      <c r="A499" s="13" t="s">
        <v>29</v>
      </c>
      <c r="B499" s="28">
        <v>1030.55</v>
      </c>
      <c r="C499" s="19">
        <v>2.0345600000000001E-6</v>
      </c>
      <c r="D499" s="28" t="s">
        <v>51</v>
      </c>
    </row>
    <row r="500" spans="1:4" x14ac:dyDescent="0.2">
      <c r="A500" s="13" t="s">
        <v>29</v>
      </c>
      <c r="B500" s="28">
        <v>1236.6600000000001</v>
      </c>
      <c r="C500" s="19">
        <v>1.6087200000000001E-6</v>
      </c>
      <c r="D500" s="28" t="s">
        <v>51</v>
      </c>
    </row>
    <row r="501" spans="1:4" x14ac:dyDescent="0.2">
      <c r="A501" s="13" t="s">
        <v>29</v>
      </c>
      <c r="B501" s="28">
        <v>1236.6600000000001</v>
      </c>
      <c r="C501" s="19">
        <v>2.7632099999999999E-6</v>
      </c>
      <c r="D501" s="28" t="s">
        <v>51</v>
      </c>
    </row>
    <row r="502" spans="1:4" x14ac:dyDescent="0.2">
      <c r="A502" s="13" t="s">
        <v>29</v>
      </c>
      <c r="B502" s="28">
        <v>1442.77</v>
      </c>
      <c r="C502" s="19">
        <v>1.68442E-6</v>
      </c>
      <c r="D502" s="28" t="s">
        <v>51</v>
      </c>
    </row>
    <row r="503" spans="1:4" x14ac:dyDescent="0.2">
      <c r="A503" s="13" t="s">
        <v>29</v>
      </c>
      <c r="B503" s="28">
        <v>1442.77</v>
      </c>
      <c r="C503" s="19">
        <v>3.3404600000000002E-6</v>
      </c>
      <c r="D503" s="28" t="s">
        <v>51</v>
      </c>
    </row>
    <row r="504" spans="1:4" x14ac:dyDescent="0.2">
      <c r="A504" s="13" t="s">
        <v>29</v>
      </c>
      <c r="B504" s="28">
        <v>1648.88</v>
      </c>
      <c r="C504" s="19">
        <v>1.96832E-6</v>
      </c>
      <c r="D504" s="28" t="s">
        <v>51</v>
      </c>
    </row>
    <row r="505" spans="1:4" x14ac:dyDescent="0.2">
      <c r="A505" s="13" t="s">
        <v>29</v>
      </c>
      <c r="B505" s="28">
        <v>1648.88</v>
      </c>
      <c r="C505" s="19">
        <v>4.40978E-6</v>
      </c>
      <c r="D505" s="28" t="s">
        <v>51</v>
      </c>
    </row>
    <row r="506" spans="1:4" x14ac:dyDescent="0.2">
      <c r="A506" s="13" t="s">
        <v>29</v>
      </c>
      <c r="B506" s="28">
        <v>1854.99</v>
      </c>
      <c r="C506" s="19">
        <v>2.2711300000000001E-6</v>
      </c>
      <c r="D506" s="28" t="s">
        <v>51</v>
      </c>
    </row>
    <row r="507" spans="1:4" x14ac:dyDescent="0.2">
      <c r="A507" s="13" t="s">
        <v>29</v>
      </c>
      <c r="B507" s="28">
        <v>1854.99</v>
      </c>
      <c r="C507" s="19">
        <v>5.1100500000000003E-6</v>
      </c>
      <c r="D507" s="28" t="s">
        <v>51</v>
      </c>
    </row>
    <row r="508" spans="1:4" x14ac:dyDescent="0.2">
      <c r="A508" s="13" t="s">
        <v>29</v>
      </c>
      <c r="B508" s="28">
        <v>2061.1</v>
      </c>
      <c r="C508" s="19">
        <v>2.9619399999999998E-6</v>
      </c>
      <c r="D508" s="28" t="s">
        <v>51</v>
      </c>
    </row>
    <row r="509" spans="1:4" x14ac:dyDescent="0.2">
      <c r="A509" s="13" t="s">
        <v>29</v>
      </c>
      <c r="B509" s="28">
        <v>2061.1</v>
      </c>
      <c r="C509" s="19">
        <v>6.6525299999999998E-6</v>
      </c>
      <c r="D509" s="28" t="s">
        <v>51</v>
      </c>
    </row>
    <row r="510" spans="1:4" x14ac:dyDescent="0.2">
      <c r="A510" s="13" t="s">
        <v>29</v>
      </c>
      <c r="B510" s="28">
        <v>2267.21</v>
      </c>
      <c r="C510" s="19">
        <v>3.3783100000000002E-6</v>
      </c>
      <c r="D510" s="28" t="s">
        <v>51</v>
      </c>
    </row>
    <row r="511" spans="1:4" x14ac:dyDescent="0.2">
      <c r="A511" s="13" t="s">
        <v>29</v>
      </c>
      <c r="B511" s="28">
        <v>2267.21</v>
      </c>
      <c r="C511" s="19">
        <v>9.5671500000000004E-6</v>
      </c>
      <c r="D511" s="28" t="s">
        <v>51</v>
      </c>
    </row>
    <row r="512" spans="1:4" x14ac:dyDescent="0.2">
      <c r="A512" s="13" t="s">
        <v>29</v>
      </c>
      <c r="B512" s="28">
        <v>2679.43</v>
      </c>
      <c r="C512" s="19">
        <v>9.0561400000000007E-6</v>
      </c>
      <c r="D512" s="28" t="s">
        <v>51</v>
      </c>
    </row>
    <row r="513" spans="1:4" x14ac:dyDescent="0.2">
      <c r="A513" s="13" t="s">
        <v>29</v>
      </c>
      <c r="B513" s="28">
        <v>2679.43</v>
      </c>
      <c r="C513" s="19">
        <v>1.1365100000000001E-5</v>
      </c>
      <c r="D513" s="28" t="s">
        <v>51</v>
      </c>
    </row>
    <row r="514" spans="1:4" x14ac:dyDescent="0.2">
      <c r="A514" s="13" t="s">
        <v>29</v>
      </c>
      <c r="B514" s="28">
        <v>3091.65</v>
      </c>
      <c r="C514" s="19">
        <v>8.1193000000000003E-6</v>
      </c>
      <c r="D514" s="28" t="s">
        <v>51</v>
      </c>
    </row>
    <row r="515" spans="1:4" x14ac:dyDescent="0.2">
      <c r="A515" s="13" t="s">
        <v>29</v>
      </c>
      <c r="B515" s="28">
        <v>3091.65</v>
      </c>
      <c r="C515" s="19">
        <v>1.7932500000000002E-5</v>
      </c>
      <c r="D515" s="28" t="s">
        <v>51</v>
      </c>
    </row>
    <row r="516" spans="1:4" x14ac:dyDescent="0.2">
      <c r="A516" s="13" t="s">
        <v>29</v>
      </c>
      <c r="B516" s="28">
        <v>3503.87</v>
      </c>
      <c r="C516" s="19">
        <v>1.15355E-5</v>
      </c>
      <c r="D516" s="28" t="s">
        <v>51</v>
      </c>
    </row>
    <row r="517" spans="1:4" x14ac:dyDescent="0.2">
      <c r="A517" s="13" t="s">
        <v>29</v>
      </c>
      <c r="B517" s="28">
        <v>3503.87</v>
      </c>
      <c r="C517" s="19">
        <v>2.1821799999999998E-5</v>
      </c>
      <c r="D517" s="28" t="s">
        <v>51</v>
      </c>
    </row>
    <row r="518" spans="1:4" x14ac:dyDescent="0.2">
      <c r="A518" s="13" t="s">
        <v>29</v>
      </c>
      <c r="B518" s="28">
        <v>3916.09</v>
      </c>
      <c r="C518" s="19">
        <v>1.4800199999999999E-5</v>
      </c>
      <c r="D518" s="28" t="s">
        <v>51</v>
      </c>
    </row>
    <row r="519" spans="1:4" x14ac:dyDescent="0.2">
      <c r="A519" s="13" t="s">
        <v>29</v>
      </c>
      <c r="B519" s="28">
        <v>3916.09</v>
      </c>
      <c r="C519" s="19">
        <v>3.1341599999999998E-5</v>
      </c>
      <c r="D519" s="28" t="s">
        <v>51</v>
      </c>
    </row>
    <row r="520" spans="1:4" x14ac:dyDescent="0.2">
      <c r="A520" s="13" t="s">
        <v>29</v>
      </c>
      <c r="B520" s="28">
        <v>4328.3100000000004</v>
      </c>
      <c r="C520" s="19">
        <v>2.0449699999999998E-5</v>
      </c>
      <c r="D520" s="28" t="s">
        <v>51</v>
      </c>
    </row>
    <row r="521" spans="1:4" x14ac:dyDescent="0.2">
      <c r="A521" s="13" t="s">
        <v>29</v>
      </c>
      <c r="B521" s="28">
        <v>4328.3100000000004</v>
      </c>
      <c r="C521" s="19">
        <v>3.4208899999999997E-5</v>
      </c>
      <c r="D521" s="28" t="s">
        <v>51</v>
      </c>
    </row>
    <row r="522" spans="1:4" x14ac:dyDescent="0.2">
      <c r="A522" s="13" t="s">
        <v>29</v>
      </c>
      <c r="B522" s="28">
        <v>4740.53</v>
      </c>
      <c r="C522" s="19">
        <v>2.91651E-5</v>
      </c>
      <c r="D522" s="28" t="s">
        <v>51</v>
      </c>
    </row>
    <row r="523" spans="1:4" x14ac:dyDescent="0.2">
      <c r="A523" s="13" t="s">
        <v>29</v>
      </c>
      <c r="B523" s="28">
        <v>4740.53</v>
      </c>
      <c r="C523" s="19">
        <v>4.2593199999999997E-5</v>
      </c>
      <c r="D523" s="28" t="s">
        <v>51</v>
      </c>
    </row>
    <row r="524" spans="1:4" x14ac:dyDescent="0.2">
      <c r="A524" s="13" t="s">
        <v>29</v>
      </c>
      <c r="B524" s="28">
        <v>5152.75</v>
      </c>
      <c r="C524" s="19">
        <v>2.99411E-5</v>
      </c>
      <c r="D524" s="28" t="s">
        <v>51</v>
      </c>
    </row>
    <row r="525" spans="1:4" x14ac:dyDescent="0.2">
      <c r="A525" s="13" t="s">
        <v>29</v>
      </c>
      <c r="B525" s="28">
        <v>5152.75</v>
      </c>
      <c r="C525" s="19">
        <v>4.4996800000000003E-5</v>
      </c>
      <c r="D525" s="28" t="s">
        <v>51</v>
      </c>
    </row>
    <row r="526" spans="1:4" x14ac:dyDescent="0.2">
      <c r="A526" s="13" t="s">
        <v>29</v>
      </c>
      <c r="B526" s="28">
        <v>0</v>
      </c>
      <c r="C526" s="19">
        <v>6.5874400000000001E-6</v>
      </c>
      <c r="D526" s="28" t="s">
        <v>54</v>
      </c>
    </row>
    <row r="527" spans="1:4" x14ac:dyDescent="0.2">
      <c r="A527" s="13" t="s">
        <v>29</v>
      </c>
      <c r="B527" s="28">
        <v>51.527500000000003</v>
      </c>
      <c r="C527" s="19">
        <v>3.5745799999999999E-6</v>
      </c>
      <c r="D527" s="28" t="s">
        <v>54</v>
      </c>
    </row>
    <row r="528" spans="1:4" x14ac:dyDescent="0.2">
      <c r="A528" s="13" t="s">
        <v>29</v>
      </c>
      <c r="B528" s="28">
        <v>103.05500000000001</v>
      </c>
      <c r="C528" s="19">
        <v>9.4879600000000002E-6</v>
      </c>
      <c r="D528" s="28" t="s">
        <v>54</v>
      </c>
    </row>
    <row r="529" spans="1:4" x14ac:dyDescent="0.2">
      <c r="A529" s="13" t="s">
        <v>29</v>
      </c>
      <c r="B529" s="28">
        <v>103.05500000000001</v>
      </c>
      <c r="C529" s="19">
        <v>4.3507800000000002E-6</v>
      </c>
      <c r="D529" s="28" t="s">
        <v>54</v>
      </c>
    </row>
    <row r="530" spans="1:4" x14ac:dyDescent="0.2">
      <c r="A530" s="13" t="s">
        <v>29</v>
      </c>
      <c r="B530" s="28">
        <v>154.58250000000001</v>
      </c>
      <c r="C530" s="19">
        <v>2.5655300000000002E-5</v>
      </c>
      <c r="D530" s="28" t="s">
        <v>54</v>
      </c>
    </row>
    <row r="531" spans="1:4" x14ac:dyDescent="0.2">
      <c r="A531" s="13" t="s">
        <v>29</v>
      </c>
      <c r="B531" s="28">
        <v>154.58250000000001</v>
      </c>
      <c r="C531" s="19">
        <v>7.7517299999999994E-6</v>
      </c>
      <c r="D531" s="28" t="s">
        <v>54</v>
      </c>
    </row>
    <row r="532" spans="1:4" x14ac:dyDescent="0.2">
      <c r="A532" s="13" t="s">
        <v>29</v>
      </c>
      <c r="B532" s="28">
        <v>206.11</v>
      </c>
      <c r="C532" s="19">
        <v>4.8879799999999999E-5</v>
      </c>
      <c r="D532" s="28" t="s">
        <v>54</v>
      </c>
    </row>
    <row r="533" spans="1:4" x14ac:dyDescent="0.2">
      <c r="A533" s="13" t="s">
        <v>29</v>
      </c>
      <c r="B533" s="28">
        <v>206.11</v>
      </c>
      <c r="C533" s="19">
        <v>1.58814E-5</v>
      </c>
      <c r="D533" s="28" t="s">
        <v>54</v>
      </c>
    </row>
    <row r="534" spans="1:4" x14ac:dyDescent="0.2">
      <c r="A534" s="13" t="s">
        <v>29</v>
      </c>
      <c r="B534" s="28">
        <v>309.16500000000002</v>
      </c>
      <c r="C534" s="19">
        <v>6.5251400000000003E-5</v>
      </c>
      <c r="D534" s="28" t="s">
        <v>54</v>
      </c>
    </row>
    <row r="535" spans="1:4" x14ac:dyDescent="0.2">
      <c r="A535" s="13" t="s">
        <v>29</v>
      </c>
      <c r="B535" s="28">
        <v>309.16500000000002</v>
      </c>
      <c r="C535" s="19">
        <v>3.6573099999999997E-5</v>
      </c>
      <c r="D535" s="28" t="s">
        <v>54</v>
      </c>
    </row>
    <row r="536" spans="1:4" x14ac:dyDescent="0.2">
      <c r="A536" s="13" t="s">
        <v>29</v>
      </c>
      <c r="B536" s="28">
        <v>412.22</v>
      </c>
      <c r="C536" s="19">
        <v>9.5604699999999996E-5</v>
      </c>
      <c r="D536" s="28" t="s">
        <v>54</v>
      </c>
    </row>
    <row r="537" spans="1:4" x14ac:dyDescent="0.2">
      <c r="A537" s="13" t="s">
        <v>29</v>
      </c>
      <c r="B537" s="28">
        <v>412.22</v>
      </c>
      <c r="C537" s="19">
        <v>7.5188699999999994E-5</v>
      </c>
      <c r="D537" s="28" t="s">
        <v>54</v>
      </c>
    </row>
    <row r="538" spans="1:4" x14ac:dyDescent="0.2">
      <c r="A538" s="13" t="s">
        <v>29</v>
      </c>
      <c r="B538" s="28">
        <v>515.27499999999998</v>
      </c>
      <c r="C538" s="28">
        <v>1.1558200000000001E-4</v>
      </c>
      <c r="D538" s="28" t="s">
        <v>54</v>
      </c>
    </row>
    <row r="539" spans="1:4" x14ac:dyDescent="0.2">
      <c r="A539" s="13" t="s">
        <v>29</v>
      </c>
      <c r="B539" s="28">
        <v>515.27499999999998</v>
      </c>
      <c r="C539" s="28">
        <v>1.37866E-4</v>
      </c>
      <c r="D539" s="28" t="s">
        <v>54</v>
      </c>
    </row>
    <row r="540" spans="1:4" x14ac:dyDescent="0.2">
      <c r="A540" s="13" t="s">
        <v>29</v>
      </c>
      <c r="B540" s="28">
        <v>618.33000000000004</v>
      </c>
      <c r="C540" s="28">
        <v>1.7304000000000001E-4</v>
      </c>
      <c r="D540" s="28" t="s">
        <v>54</v>
      </c>
    </row>
    <row r="541" spans="1:4" x14ac:dyDescent="0.2">
      <c r="A541" s="13" t="s">
        <v>29</v>
      </c>
      <c r="B541" s="28">
        <v>618.33000000000004</v>
      </c>
      <c r="C541" s="28">
        <v>1.4997900000000001E-4</v>
      </c>
      <c r="D541" s="28" t="s">
        <v>54</v>
      </c>
    </row>
    <row r="542" spans="1:4" x14ac:dyDescent="0.2">
      <c r="A542" s="13" t="s">
        <v>29</v>
      </c>
      <c r="B542" s="28">
        <v>721.38499999999999</v>
      </c>
      <c r="C542" s="28">
        <v>1.8093499999999999E-4</v>
      </c>
      <c r="D542" s="28" t="s">
        <v>54</v>
      </c>
    </row>
    <row r="543" spans="1:4" x14ac:dyDescent="0.2">
      <c r="A543" s="13" t="s">
        <v>29</v>
      </c>
      <c r="B543" s="28">
        <v>721.38499999999999</v>
      </c>
      <c r="C543" s="28">
        <v>1.92537E-4</v>
      </c>
      <c r="D543" s="28" t="s">
        <v>54</v>
      </c>
    </row>
    <row r="544" spans="1:4" x14ac:dyDescent="0.2">
      <c r="A544" s="13" t="s">
        <v>29</v>
      </c>
      <c r="B544" s="28">
        <v>824.44</v>
      </c>
      <c r="C544" s="28">
        <v>2.4921999999999998E-4</v>
      </c>
      <c r="D544" s="28" t="s">
        <v>54</v>
      </c>
    </row>
    <row r="545" spans="1:4" x14ac:dyDescent="0.2">
      <c r="A545" s="13" t="s">
        <v>29</v>
      </c>
      <c r="B545" s="28">
        <v>824.44</v>
      </c>
      <c r="C545" s="28">
        <v>2.4726899999999999E-4</v>
      </c>
      <c r="D545" s="28" t="s">
        <v>54</v>
      </c>
    </row>
    <row r="546" spans="1:4" x14ac:dyDescent="0.2">
      <c r="A546" s="13" t="s">
        <v>29</v>
      </c>
      <c r="B546" s="28">
        <v>927.495</v>
      </c>
      <c r="C546" s="28">
        <v>2.8566000000000003E-4</v>
      </c>
      <c r="D546" s="28" t="s">
        <v>54</v>
      </c>
    </row>
    <row r="547" spans="1:4" x14ac:dyDescent="0.2">
      <c r="A547" s="13" t="s">
        <v>29</v>
      </c>
      <c r="B547" s="28">
        <v>927.495</v>
      </c>
      <c r="C547" s="28">
        <v>2.5228400000000003E-4</v>
      </c>
      <c r="D547" s="28" t="s">
        <v>54</v>
      </c>
    </row>
    <row r="548" spans="1:4" x14ac:dyDescent="0.2">
      <c r="A548" s="13" t="s">
        <v>29</v>
      </c>
      <c r="B548" s="28">
        <v>1030.55</v>
      </c>
      <c r="C548" s="28">
        <v>3.1984299999999999E-4</v>
      </c>
      <c r="D548" s="28" t="s">
        <v>54</v>
      </c>
    </row>
    <row r="549" spans="1:4" x14ac:dyDescent="0.2">
      <c r="A549" s="13" t="s">
        <v>29</v>
      </c>
      <c r="B549" s="28">
        <v>1030.55</v>
      </c>
      <c r="C549" s="28">
        <v>2.8497599999999999E-4</v>
      </c>
      <c r="D549" s="28" t="s">
        <v>54</v>
      </c>
    </row>
    <row r="550" spans="1:4" x14ac:dyDescent="0.2">
      <c r="A550" s="13" t="s">
        <v>29</v>
      </c>
      <c r="B550" s="28">
        <v>1236.6600000000001</v>
      </c>
      <c r="C550" s="28">
        <v>3.64168E-4</v>
      </c>
      <c r="D550" s="28" t="s">
        <v>54</v>
      </c>
    </row>
    <row r="551" spans="1:4" x14ac:dyDescent="0.2">
      <c r="A551" s="13" t="s">
        <v>29</v>
      </c>
      <c r="B551" s="28">
        <v>1236.6600000000001</v>
      </c>
      <c r="C551" s="28">
        <v>2.9708799999999999E-4</v>
      </c>
      <c r="D551" s="28" t="s">
        <v>54</v>
      </c>
    </row>
    <row r="552" spans="1:4" x14ac:dyDescent="0.2">
      <c r="A552" s="13" t="s">
        <v>29</v>
      </c>
      <c r="B552" s="28">
        <v>1442.77</v>
      </c>
      <c r="C552" s="28">
        <v>3.7657700000000001E-4</v>
      </c>
      <c r="D552" s="28" t="s">
        <v>54</v>
      </c>
    </row>
    <row r="553" spans="1:4" x14ac:dyDescent="0.2">
      <c r="A553" s="13" t="s">
        <v>29</v>
      </c>
      <c r="B553" s="28">
        <v>1442.77</v>
      </c>
      <c r="C553" s="28">
        <v>3.2812599999999998E-4</v>
      </c>
      <c r="D553" s="28" t="s">
        <v>54</v>
      </c>
    </row>
    <row r="554" spans="1:4" x14ac:dyDescent="0.2">
      <c r="A554" s="13" t="s">
        <v>29</v>
      </c>
      <c r="B554" s="28">
        <v>1648.88</v>
      </c>
      <c r="C554" s="28">
        <v>3.2969899999999998E-4</v>
      </c>
      <c r="D554" s="28" t="s">
        <v>54</v>
      </c>
    </row>
    <row r="555" spans="1:4" x14ac:dyDescent="0.2">
      <c r="A555" s="13" t="s">
        <v>29</v>
      </c>
      <c r="B555" s="28">
        <v>1648.88</v>
      </c>
      <c r="C555" s="28">
        <v>3.1047799999999999E-4</v>
      </c>
      <c r="D555" s="28" t="s">
        <v>54</v>
      </c>
    </row>
    <row r="556" spans="1:4" x14ac:dyDescent="0.2">
      <c r="A556" s="13" t="s">
        <v>29</v>
      </c>
      <c r="B556" s="28">
        <v>1854.99</v>
      </c>
      <c r="C556" s="28">
        <v>3.5886700000000002E-4</v>
      </c>
      <c r="D556" s="28" t="s">
        <v>54</v>
      </c>
    </row>
    <row r="557" spans="1:4" x14ac:dyDescent="0.2">
      <c r="A557" s="13" t="s">
        <v>29</v>
      </c>
      <c r="B557" s="28">
        <v>1854.99</v>
      </c>
      <c r="C557" s="28">
        <v>3.2087499999999998E-4</v>
      </c>
      <c r="D557" s="28" t="s">
        <v>54</v>
      </c>
    </row>
    <row r="558" spans="1:4" x14ac:dyDescent="0.2">
      <c r="A558" s="13" t="s">
        <v>29</v>
      </c>
      <c r="B558" s="28">
        <v>2061.1</v>
      </c>
      <c r="C558" s="28">
        <v>3.6534300000000002E-4</v>
      </c>
      <c r="D558" s="28" t="s">
        <v>54</v>
      </c>
    </row>
    <row r="559" spans="1:4" x14ac:dyDescent="0.2">
      <c r="A559" s="13" t="s">
        <v>29</v>
      </c>
      <c r="B559" s="28">
        <v>2061.1</v>
      </c>
      <c r="C559" s="28">
        <v>3.1033500000000002E-4</v>
      </c>
      <c r="D559" s="28" t="s">
        <v>54</v>
      </c>
    </row>
    <row r="560" spans="1:4" x14ac:dyDescent="0.2">
      <c r="A560" s="13" t="s">
        <v>29</v>
      </c>
      <c r="B560" s="28">
        <v>2267.21</v>
      </c>
      <c r="C560" s="28">
        <v>3.40198E-4</v>
      </c>
      <c r="D560" s="28" t="s">
        <v>54</v>
      </c>
    </row>
    <row r="561" spans="1:4" x14ac:dyDescent="0.2">
      <c r="A561" s="13" t="s">
        <v>29</v>
      </c>
      <c r="B561" s="28">
        <v>2267.21</v>
      </c>
      <c r="C561" s="28">
        <v>3.3209899999999998E-4</v>
      </c>
      <c r="D561" s="28" t="s">
        <v>54</v>
      </c>
    </row>
    <row r="562" spans="1:4" x14ac:dyDescent="0.2">
      <c r="A562" s="13" t="s">
        <v>29</v>
      </c>
      <c r="B562" s="28">
        <v>2679.43</v>
      </c>
      <c r="C562" s="28">
        <v>3.42047E-4</v>
      </c>
      <c r="D562" s="28" t="s">
        <v>54</v>
      </c>
    </row>
    <row r="563" spans="1:4" x14ac:dyDescent="0.2">
      <c r="A563" s="13" t="s">
        <v>29</v>
      </c>
      <c r="B563" s="28">
        <v>2679.43</v>
      </c>
      <c r="C563" s="28">
        <v>3.1745299999999998E-4</v>
      </c>
      <c r="D563" s="28" t="s">
        <v>54</v>
      </c>
    </row>
    <row r="564" spans="1:4" x14ac:dyDescent="0.2">
      <c r="A564" s="13" t="s">
        <v>29</v>
      </c>
      <c r="B564" s="28">
        <v>3091.65</v>
      </c>
      <c r="C564" s="28">
        <v>3.22601E-4</v>
      </c>
      <c r="D564" s="28" t="s">
        <v>54</v>
      </c>
    </row>
    <row r="565" spans="1:4" x14ac:dyDescent="0.2">
      <c r="A565" s="13" t="s">
        <v>29</v>
      </c>
      <c r="B565" s="28">
        <v>3091.65</v>
      </c>
      <c r="C565" s="28">
        <v>3.3072E-4</v>
      </c>
      <c r="D565" s="28" t="s">
        <v>54</v>
      </c>
    </row>
    <row r="566" spans="1:4" x14ac:dyDescent="0.2">
      <c r="A566" s="13" t="s">
        <v>29</v>
      </c>
      <c r="B566" s="28">
        <v>3503.87</v>
      </c>
      <c r="C566" s="28">
        <v>3.4983900000000001E-4</v>
      </c>
      <c r="D566" s="28" t="s">
        <v>54</v>
      </c>
    </row>
    <row r="567" spans="1:4" x14ac:dyDescent="0.2">
      <c r="A567" s="13" t="s">
        <v>29</v>
      </c>
      <c r="B567" s="28">
        <v>3503.87</v>
      </c>
      <c r="C567" s="28">
        <v>3.1388899999999998E-4</v>
      </c>
      <c r="D567" s="28" t="s">
        <v>54</v>
      </c>
    </row>
    <row r="568" spans="1:4" x14ac:dyDescent="0.2">
      <c r="A568" s="13" t="s">
        <v>29</v>
      </c>
      <c r="B568" s="28">
        <v>3916.09</v>
      </c>
      <c r="C568" s="28">
        <v>3.2208999999999997E-4</v>
      </c>
      <c r="D568" s="28" t="s">
        <v>54</v>
      </c>
    </row>
    <row r="569" spans="1:4" x14ac:dyDescent="0.2">
      <c r="A569" s="13" t="s">
        <v>29</v>
      </c>
      <c r="B569" s="28">
        <v>3916.09</v>
      </c>
      <c r="C569" s="28">
        <v>3.0413599999999999E-4</v>
      </c>
      <c r="D569" s="28" t="s">
        <v>54</v>
      </c>
    </row>
    <row r="570" spans="1:4" x14ac:dyDescent="0.2">
      <c r="A570" s="13" t="s">
        <v>29</v>
      </c>
      <c r="B570" s="28">
        <v>4328.3100000000004</v>
      </c>
      <c r="C570" s="28">
        <v>3.1229599999999999E-4</v>
      </c>
      <c r="D570" s="28" t="s">
        <v>54</v>
      </c>
    </row>
    <row r="571" spans="1:4" x14ac:dyDescent="0.2">
      <c r="A571" s="13" t="s">
        <v>29</v>
      </c>
      <c r="B571" s="28">
        <v>4328.3100000000004</v>
      </c>
      <c r="C571" s="28">
        <v>2.5750300000000002E-4</v>
      </c>
      <c r="D571" s="28" t="s">
        <v>54</v>
      </c>
    </row>
    <row r="572" spans="1:4" x14ac:dyDescent="0.2">
      <c r="A572" s="13" t="s">
        <v>29</v>
      </c>
      <c r="B572" s="28">
        <v>4740.53</v>
      </c>
      <c r="C572" s="28">
        <v>3.4620300000000001E-4</v>
      </c>
      <c r="D572" s="28" t="s">
        <v>54</v>
      </c>
    </row>
    <row r="573" spans="1:4" x14ac:dyDescent="0.2">
      <c r="A573" s="13" t="s">
        <v>29</v>
      </c>
      <c r="B573" s="28">
        <v>4740.53</v>
      </c>
      <c r="C573" s="28">
        <v>2.93095E-4</v>
      </c>
      <c r="D573" s="28" t="s">
        <v>54</v>
      </c>
    </row>
    <row r="574" spans="1:4" x14ac:dyDescent="0.2">
      <c r="A574" s="13" t="s">
        <v>29</v>
      </c>
      <c r="B574" s="28">
        <v>5152.75</v>
      </c>
      <c r="C574" s="28">
        <v>3.2046599999999999E-4</v>
      </c>
      <c r="D574" s="28" t="s">
        <v>54</v>
      </c>
    </row>
    <row r="575" spans="1:4" x14ac:dyDescent="0.2">
      <c r="A575" s="13" t="s">
        <v>29</v>
      </c>
      <c r="B575" s="28">
        <v>5152.75</v>
      </c>
      <c r="C575" s="28">
        <v>2.6076099999999998E-4</v>
      </c>
      <c r="D575" s="28" t="s">
        <v>54</v>
      </c>
    </row>
    <row r="576" spans="1:4" x14ac:dyDescent="0.2">
      <c r="A576" s="13" t="s">
        <v>29</v>
      </c>
      <c r="B576" s="28">
        <v>0</v>
      </c>
      <c r="C576" s="19">
        <v>2.1606000000000001E-6</v>
      </c>
      <c r="D576" s="28" t="s">
        <v>55</v>
      </c>
    </row>
    <row r="577" spans="1:4" x14ac:dyDescent="0.2">
      <c r="A577" s="13" t="s">
        <v>29</v>
      </c>
      <c r="B577" s="28">
        <v>51.527500000000003</v>
      </c>
      <c r="C577" s="19">
        <v>2.42828E-6</v>
      </c>
      <c r="D577" s="28" t="s">
        <v>55</v>
      </c>
    </row>
    <row r="578" spans="1:4" x14ac:dyDescent="0.2">
      <c r="A578" s="13" t="s">
        <v>29</v>
      </c>
      <c r="B578" s="28">
        <v>103.05500000000001</v>
      </c>
      <c r="C578" s="19">
        <v>2.2753200000000002E-6</v>
      </c>
      <c r="D578" s="28" t="s">
        <v>55</v>
      </c>
    </row>
    <row r="579" spans="1:4" x14ac:dyDescent="0.2">
      <c r="A579" s="13" t="s">
        <v>29</v>
      </c>
      <c r="B579" s="28">
        <v>103.05500000000001</v>
      </c>
      <c r="C579" s="19">
        <v>1.6347899999999999E-6</v>
      </c>
      <c r="D579" s="28" t="s">
        <v>55</v>
      </c>
    </row>
    <row r="580" spans="1:4" x14ac:dyDescent="0.2">
      <c r="A580" s="13" t="s">
        <v>29</v>
      </c>
      <c r="B580" s="28">
        <v>154.58250000000001</v>
      </c>
      <c r="C580" s="19">
        <v>3.5754999999999999E-6</v>
      </c>
      <c r="D580" s="28" t="s">
        <v>55</v>
      </c>
    </row>
    <row r="581" spans="1:4" x14ac:dyDescent="0.2">
      <c r="A581" s="13" t="s">
        <v>29</v>
      </c>
      <c r="B581" s="28">
        <v>154.58250000000001</v>
      </c>
      <c r="C581" s="19">
        <v>1.1472199999999999E-6</v>
      </c>
      <c r="D581" s="28" t="s">
        <v>55</v>
      </c>
    </row>
    <row r="582" spans="1:4" x14ac:dyDescent="0.2">
      <c r="A582" s="13" t="s">
        <v>29</v>
      </c>
      <c r="B582" s="28">
        <v>206.11</v>
      </c>
      <c r="C582" s="19">
        <v>3.5659399999999999E-6</v>
      </c>
      <c r="D582" s="28" t="s">
        <v>55</v>
      </c>
    </row>
    <row r="583" spans="1:4" x14ac:dyDescent="0.2">
      <c r="A583" s="13" t="s">
        <v>29</v>
      </c>
      <c r="B583" s="28">
        <v>206.11</v>
      </c>
      <c r="C583" s="19">
        <v>2.5047599999999999E-6</v>
      </c>
      <c r="D583" s="28" t="s">
        <v>55</v>
      </c>
    </row>
    <row r="584" spans="1:4" x14ac:dyDescent="0.2">
      <c r="A584" s="13" t="s">
        <v>29</v>
      </c>
      <c r="B584" s="28">
        <v>309.16500000000002</v>
      </c>
      <c r="C584" s="19">
        <v>5.1720499999999999E-6</v>
      </c>
      <c r="D584" s="28" t="s">
        <v>55</v>
      </c>
    </row>
    <row r="585" spans="1:4" x14ac:dyDescent="0.2">
      <c r="A585" s="13" t="s">
        <v>29</v>
      </c>
      <c r="B585" s="28">
        <v>309.16500000000002</v>
      </c>
      <c r="C585" s="19">
        <v>2.23708E-6</v>
      </c>
      <c r="D585" s="28" t="s">
        <v>55</v>
      </c>
    </row>
    <row r="586" spans="1:4" x14ac:dyDescent="0.2">
      <c r="A586" s="13" t="s">
        <v>29</v>
      </c>
      <c r="B586" s="28">
        <v>412.22</v>
      </c>
      <c r="C586" s="19">
        <v>7.3230799999999997E-6</v>
      </c>
      <c r="D586" s="28" t="s">
        <v>55</v>
      </c>
    </row>
    <row r="587" spans="1:4" x14ac:dyDescent="0.2">
      <c r="A587" s="13" t="s">
        <v>29</v>
      </c>
      <c r="B587" s="28">
        <v>412.22</v>
      </c>
      <c r="C587" s="19">
        <v>3.17397E-6</v>
      </c>
      <c r="D587" s="28" t="s">
        <v>55</v>
      </c>
    </row>
    <row r="588" spans="1:4" x14ac:dyDescent="0.2">
      <c r="A588" s="13" t="s">
        <v>29</v>
      </c>
      <c r="B588" s="28">
        <v>515.27499999999998</v>
      </c>
      <c r="C588" s="19">
        <v>2.8393699999999999E-6</v>
      </c>
      <c r="D588" s="28" t="s">
        <v>55</v>
      </c>
    </row>
    <row r="589" spans="1:4" x14ac:dyDescent="0.2">
      <c r="A589" s="13" t="s">
        <v>29</v>
      </c>
      <c r="B589" s="28">
        <v>515.27499999999998</v>
      </c>
      <c r="C589" s="19">
        <v>8.6041400000000006E-6</v>
      </c>
      <c r="D589" s="28" t="s">
        <v>55</v>
      </c>
    </row>
    <row r="590" spans="1:4" x14ac:dyDescent="0.2">
      <c r="A590" s="13" t="s">
        <v>29</v>
      </c>
      <c r="B590" s="28">
        <v>618.33000000000004</v>
      </c>
      <c r="C590" s="19">
        <v>6.7590300000000004E-6</v>
      </c>
      <c r="D590" s="28" t="s">
        <v>55</v>
      </c>
    </row>
    <row r="591" spans="1:4" x14ac:dyDescent="0.2">
      <c r="A591" s="13" t="s">
        <v>29</v>
      </c>
      <c r="B591" s="28">
        <v>618.33000000000004</v>
      </c>
      <c r="C591" s="19">
        <v>1.0458800000000001E-5</v>
      </c>
      <c r="D591" s="28" t="s">
        <v>55</v>
      </c>
    </row>
    <row r="592" spans="1:4" x14ac:dyDescent="0.2">
      <c r="A592" s="13" t="s">
        <v>29</v>
      </c>
      <c r="B592" s="28">
        <v>721.38499999999999</v>
      </c>
      <c r="C592" s="19">
        <v>7.4569200000000003E-6</v>
      </c>
      <c r="D592" s="28" t="s">
        <v>55</v>
      </c>
    </row>
    <row r="593" spans="1:4" x14ac:dyDescent="0.2">
      <c r="A593" s="13" t="s">
        <v>29</v>
      </c>
      <c r="B593" s="28">
        <v>721.38499999999999</v>
      </c>
      <c r="C593" s="19">
        <v>1.5822099999999999E-5</v>
      </c>
      <c r="D593" s="28" t="s">
        <v>55</v>
      </c>
    </row>
    <row r="594" spans="1:4" x14ac:dyDescent="0.2">
      <c r="A594" s="13" t="s">
        <v>29</v>
      </c>
      <c r="B594" s="28">
        <v>824.44</v>
      </c>
      <c r="C594" s="19">
        <v>1.0439699999999999E-5</v>
      </c>
      <c r="D594" s="28" t="s">
        <v>55</v>
      </c>
    </row>
    <row r="595" spans="1:4" x14ac:dyDescent="0.2">
      <c r="A595" s="13" t="s">
        <v>29</v>
      </c>
      <c r="B595" s="28">
        <v>824.44</v>
      </c>
      <c r="C595" s="19">
        <v>1.97226E-5</v>
      </c>
      <c r="D595" s="28" t="s">
        <v>55</v>
      </c>
    </row>
    <row r="596" spans="1:4" x14ac:dyDescent="0.2">
      <c r="A596" s="13" t="s">
        <v>29</v>
      </c>
      <c r="B596" s="28">
        <v>927.495</v>
      </c>
      <c r="C596" s="19">
        <v>1.2561999999999999E-5</v>
      </c>
      <c r="D596" s="28" t="s">
        <v>55</v>
      </c>
    </row>
    <row r="597" spans="1:4" x14ac:dyDescent="0.2">
      <c r="A597" s="13" t="s">
        <v>29</v>
      </c>
      <c r="B597" s="28">
        <v>927.495</v>
      </c>
      <c r="C597" s="19">
        <v>2.4340200000000001E-5</v>
      </c>
      <c r="D597" s="28" t="s">
        <v>55</v>
      </c>
    </row>
    <row r="598" spans="1:4" x14ac:dyDescent="0.2">
      <c r="A598" s="13" t="s">
        <v>29</v>
      </c>
      <c r="B598" s="28">
        <v>1030.55</v>
      </c>
      <c r="C598" s="19">
        <v>2.0018999999999999E-5</v>
      </c>
      <c r="D598" s="28" t="s">
        <v>55</v>
      </c>
    </row>
    <row r="599" spans="1:4" x14ac:dyDescent="0.2">
      <c r="A599" s="13" t="s">
        <v>29</v>
      </c>
      <c r="B599" s="28">
        <v>1030.55</v>
      </c>
      <c r="C599" s="19">
        <v>2.9473999999999999E-5</v>
      </c>
      <c r="D599" s="28" t="s">
        <v>55</v>
      </c>
    </row>
    <row r="600" spans="1:4" x14ac:dyDescent="0.2">
      <c r="A600" s="13" t="s">
        <v>29</v>
      </c>
      <c r="B600" s="28">
        <v>1236.6600000000001</v>
      </c>
      <c r="C600" s="19">
        <v>2.7064799999999999E-5</v>
      </c>
      <c r="D600" s="28" t="s">
        <v>55</v>
      </c>
    </row>
    <row r="601" spans="1:4" x14ac:dyDescent="0.2">
      <c r="A601" s="13" t="s">
        <v>29</v>
      </c>
      <c r="B601" s="28">
        <v>1236.6600000000001</v>
      </c>
      <c r="C601" s="19">
        <v>3.8498799999999998E-5</v>
      </c>
      <c r="D601" s="28" t="s">
        <v>55</v>
      </c>
    </row>
    <row r="602" spans="1:4" x14ac:dyDescent="0.2">
      <c r="A602" s="13" t="s">
        <v>29</v>
      </c>
      <c r="B602" s="28">
        <v>1442.77</v>
      </c>
      <c r="C602" s="19">
        <v>4.1758799999999997E-5</v>
      </c>
      <c r="D602" s="28" t="s">
        <v>55</v>
      </c>
    </row>
    <row r="603" spans="1:4" x14ac:dyDescent="0.2">
      <c r="A603" s="13" t="s">
        <v>29</v>
      </c>
      <c r="B603" s="28">
        <v>1442.77</v>
      </c>
      <c r="C603" s="19">
        <v>5.3441299999999999E-5</v>
      </c>
      <c r="D603" s="28" t="s">
        <v>55</v>
      </c>
    </row>
    <row r="604" spans="1:4" x14ac:dyDescent="0.2">
      <c r="A604" s="13" t="s">
        <v>29</v>
      </c>
      <c r="B604" s="28">
        <v>1648.88</v>
      </c>
      <c r="C604" s="19">
        <v>4.9435599999999998E-5</v>
      </c>
      <c r="D604" s="28" t="s">
        <v>55</v>
      </c>
    </row>
    <row r="605" spans="1:4" x14ac:dyDescent="0.2">
      <c r="A605" s="13" t="s">
        <v>29</v>
      </c>
      <c r="B605" s="28">
        <v>1648.88</v>
      </c>
      <c r="C605" s="19">
        <v>7.0878999999999997E-5</v>
      </c>
      <c r="D605" s="28" t="s">
        <v>55</v>
      </c>
    </row>
    <row r="606" spans="1:4" x14ac:dyDescent="0.2">
      <c r="A606" s="13" t="s">
        <v>29</v>
      </c>
      <c r="B606" s="28">
        <v>1854.99</v>
      </c>
      <c r="C606" s="19">
        <v>6.5314999999999994E-5</v>
      </c>
      <c r="D606" s="28" t="s">
        <v>55</v>
      </c>
    </row>
    <row r="607" spans="1:4" x14ac:dyDescent="0.2">
      <c r="A607" s="13" t="s">
        <v>29</v>
      </c>
      <c r="B607" s="28">
        <v>1854.99</v>
      </c>
      <c r="C607" s="19">
        <v>6.8708900000000002E-5</v>
      </c>
      <c r="D607" s="28" t="s">
        <v>55</v>
      </c>
    </row>
    <row r="608" spans="1:4" x14ac:dyDescent="0.2">
      <c r="A608" s="13" t="s">
        <v>29</v>
      </c>
      <c r="B608" s="28">
        <v>2061.1</v>
      </c>
      <c r="C608" s="19">
        <v>7.6595999999999996E-5</v>
      </c>
      <c r="D608" s="28" t="s">
        <v>55</v>
      </c>
    </row>
    <row r="609" spans="1:4" x14ac:dyDescent="0.2">
      <c r="A609" s="13" t="s">
        <v>29</v>
      </c>
      <c r="B609" s="28">
        <v>2061.1</v>
      </c>
      <c r="C609" s="19">
        <v>9.44257E-5</v>
      </c>
      <c r="D609" s="28" t="s">
        <v>55</v>
      </c>
    </row>
    <row r="610" spans="1:4" x14ac:dyDescent="0.2">
      <c r="A610" s="13" t="s">
        <v>29</v>
      </c>
      <c r="B610" s="28">
        <v>2267.21</v>
      </c>
      <c r="C610" s="19">
        <v>8.6987899999999994E-5</v>
      </c>
      <c r="D610" s="28" t="s">
        <v>55</v>
      </c>
    </row>
    <row r="611" spans="1:4" x14ac:dyDescent="0.2">
      <c r="A611" s="13" t="s">
        <v>29</v>
      </c>
      <c r="B611" s="28">
        <v>2267.21</v>
      </c>
      <c r="C611" s="28">
        <v>1.0699700000000001E-4</v>
      </c>
      <c r="D611" s="28" t="s">
        <v>55</v>
      </c>
    </row>
    <row r="612" spans="1:4" x14ac:dyDescent="0.2">
      <c r="A612" s="13" t="s">
        <v>29</v>
      </c>
      <c r="B612" s="28">
        <v>2679.43</v>
      </c>
      <c r="C612" s="28">
        <v>1.24578E-4</v>
      </c>
      <c r="D612" s="28" t="s">
        <v>55</v>
      </c>
    </row>
    <row r="613" spans="1:4" x14ac:dyDescent="0.2">
      <c r="A613" s="13" t="s">
        <v>29</v>
      </c>
      <c r="B613" s="28">
        <v>2679.43</v>
      </c>
      <c r="C613" s="28">
        <v>1.3100300000000001E-4</v>
      </c>
      <c r="D613" s="28" t="s">
        <v>55</v>
      </c>
    </row>
    <row r="614" spans="1:4" x14ac:dyDescent="0.2">
      <c r="A614" s="13" t="s">
        <v>29</v>
      </c>
      <c r="B614" s="28">
        <v>3091.65</v>
      </c>
      <c r="C614" s="28">
        <v>1.5880399999999999E-4</v>
      </c>
      <c r="D614" s="28" t="s">
        <v>55</v>
      </c>
    </row>
    <row r="615" spans="1:4" x14ac:dyDescent="0.2">
      <c r="A615" s="13" t="s">
        <v>29</v>
      </c>
      <c r="B615" s="28">
        <v>3091.65</v>
      </c>
      <c r="C615" s="28">
        <v>1.6998E-4</v>
      </c>
      <c r="D615" s="28" t="s">
        <v>55</v>
      </c>
    </row>
    <row r="616" spans="1:4" x14ac:dyDescent="0.2">
      <c r="A616" s="13" t="s">
        <v>29</v>
      </c>
      <c r="B616" s="28">
        <v>3503.87</v>
      </c>
      <c r="C616" s="28">
        <v>2.0613599999999999E-4</v>
      </c>
      <c r="D616" s="28" t="s">
        <v>55</v>
      </c>
    </row>
    <row r="617" spans="1:4" x14ac:dyDescent="0.2">
      <c r="A617" s="13" t="s">
        <v>29</v>
      </c>
      <c r="B617" s="28">
        <v>3503.87</v>
      </c>
      <c r="C617" s="28">
        <v>1.7959700000000001E-4</v>
      </c>
      <c r="D617" s="28" t="s">
        <v>55</v>
      </c>
    </row>
    <row r="618" spans="1:4" x14ac:dyDescent="0.2">
      <c r="A618" s="13" t="s">
        <v>29</v>
      </c>
      <c r="B618" s="28">
        <v>3916.09</v>
      </c>
      <c r="C618" s="28">
        <v>2.0633700000000001E-4</v>
      </c>
      <c r="D618" s="28" t="s">
        <v>55</v>
      </c>
    </row>
    <row r="619" spans="1:4" x14ac:dyDescent="0.2">
      <c r="A619" s="13" t="s">
        <v>29</v>
      </c>
      <c r="B619" s="28">
        <v>3916.09</v>
      </c>
      <c r="C619" s="28">
        <v>2.16968E-4</v>
      </c>
      <c r="D619" s="28" t="s">
        <v>55</v>
      </c>
    </row>
    <row r="620" spans="1:4" x14ac:dyDescent="0.2">
      <c r="A620" s="13" t="s">
        <v>29</v>
      </c>
      <c r="B620" s="28">
        <v>4328.3100000000004</v>
      </c>
      <c r="C620" s="28">
        <v>2.5358299999999999E-4</v>
      </c>
      <c r="D620" s="28" t="s">
        <v>55</v>
      </c>
    </row>
    <row r="621" spans="1:4" x14ac:dyDescent="0.2">
      <c r="A621" s="13" t="s">
        <v>29</v>
      </c>
      <c r="B621" s="28">
        <v>4328.3100000000004</v>
      </c>
      <c r="C621" s="28">
        <v>2.1279E-4</v>
      </c>
      <c r="D621" s="28" t="s">
        <v>55</v>
      </c>
    </row>
    <row r="622" spans="1:4" x14ac:dyDescent="0.2">
      <c r="A622" s="13" t="s">
        <v>29</v>
      </c>
      <c r="B622" s="28">
        <v>4740.53</v>
      </c>
      <c r="C622" s="28">
        <v>2.6695799999999997E-4</v>
      </c>
      <c r="D622" s="28" t="s">
        <v>55</v>
      </c>
    </row>
    <row r="623" spans="1:4" x14ac:dyDescent="0.2">
      <c r="A623" s="13" t="s">
        <v>29</v>
      </c>
      <c r="B623" s="28">
        <v>4740.53</v>
      </c>
      <c r="C623" s="28">
        <v>2.5689099999999998E-4</v>
      </c>
      <c r="D623" s="28" t="s">
        <v>55</v>
      </c>
    </row>
    <row r="624" spans="1:4" x14ac:dyDescent="0.2">
      <c r="A624" s="13" t="s">
        <v>29</v>
      </c>
      <c r="B624" s="28">
        <v>5152.75</v>
      </c>
      <c r="C624" s="28">
        <v>2.6513200000000001E-4</v>
      </c>
      <c r="D624" s="28" t="s">
        <v>55</v>
      </c>
    </row>
    <row r="625" spans="1:4" x14ac:dyDescent="0.2">
      <c r="A625" s="13" t="s">
        <v>29</v>
      </c>
      <c r="B625" s="28">
        <v>5152.75</v>
      </c>
      <c r="C625" s="28">
        <v>2.4798099999999998E-4</v>
      </c>
      <c r="D625" s="28"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2430A-F5C4-164D-9D51-69EB59FED88C}">
  <dimension ref="A1:AA49"/>
  <sheetViews>
    <sheetView zoomScale="125" workbookViewId="0">
      <selection activeCell="B1" sqref="B1"/>
    </sheetView>
    <sheetView workbookViewId="1">
      <selection activeCell="G6" sqref="G6"/>
    </sheetView>
  </sheetViews>
  <sheetFormatPr baseColWidth="10" defaultRowHeight="15" x14ac:dyDescent="0.2"/>
  <cols>
    <col min="1" max="1" width="13" bestFit="1" customWidth="1"/>
    <col min="2" max="2" width="8.6640625" bestFit="1" customWidth="1"/>
    <col min="3" max="3" width="13.33203125" customWidth="1"/>
    <col min="4" max="4" width="12.1640625" bestFit="1" customWidth="1"/>
    <col min="7" max="7" width="13.1640625" bestFit="1" customWidth="1"/>
    <col min="10" max="10" width="13.83203125" bestFit="1" customWidth="1"/>
  </cols>
  <sheetData>
    <row r="1" spans="1:27" ht="16" x14ac:dyDescent="0.2">
      <c r="A1" s="14" t="s">
        <v>71</v>
      </c>
      <c r="B1" s="14" t="s">
        <v>99</v>
      </c>
      <c r="C1" s="14" t="s">
        <v>72</v>
      </c>
      <c r="D1" s="42" t="s">
        <v>73</v>
      </c>
      <c r="E1" s="14" t="s">
        <v>74</v>
      </c>
      <c r="J1" s="13" t="s">
        <v>75</v>
      </c>
      <c r="K1" s="13"/>
      <c r="L1" s="13" t="s">
        <v>76</v>
      </c>
    </row>
    <row r="2" spans="1:27" x14ac:dyDescent="0.2">
      <c r="A2" s="36" t="s">
        <v>77</v>
      </c>
      <c r="B2" s="37">
        <v>7.0999999999999994E-2</v>
      </c>
      <c r="C2" s="37">
        <v>2.7044799999999999E-7</v>
      </c>
      <c r="D2" s="43">
        <v>2.7044799999999999E-5</v>
      </c>
      <c r="E2" s="36">
        <v>18.63</v>
      </c>
      <c r="J2" s="13" t="s">
        <v>78</v>
      </c>
      <c r="K2" s="18">
        <v>7.0000000000000001E-3</v>
      </c>
      <c r="L2" s="13" t="s">
        <v>16</v>
      </c>
    </row>
    <row r="3" spans="1:27" x14ac:dyDescent="0.2">
      <c r="A3" s="36" t="s">
        <v>79</v>
      </c>
      <c r="B3" s="37">
        <v>7.9200000000000007E-2</v>
      </c>
      <c r="C3" s="37">
        <v>3.01393E-7</v>
      </c>
      <c r="D3" s="43">
        <v>3.0139300000000001E-5</v>
      </c>
      <c r="E3" s="38">
        <v>15.5</v>
      </c>
      <c r="J3" s="13" t="s">
        <v>80</v>
      </c>
      <c r="K3" s="13">
        <v>0.93</v>
      </c>
      <c r="L3" s="13" t="s">
        <v>81</v>
      </c>
    </row>
    <row r="4" spans="1:27" x14ac:dyDescent="0.2">
      <c r="A4" s="36" t="s">
        <v>82</v>
      </c>
      <c r="B4" s="37">
        <v>5.0500000000000003E-2</v>
      </c>
      <c r="C4" s="37">
        <v>1.92096E-7</v>
      </c>
      <c r="D4" s="43">
        <v>1.92096E-5</v>
      </c>
      <c r="E4" s="38">
        <v>33.299999999999997</v>
      </c>
      <c r="J4" s="13" t="s">
        <v>83</v>
      </c>
      <c r="K4" s="13">
        <v>1785</v>
      </c>
      <c r="L4" s="13" t="s">
        <v>81</v>
      </c>
    </row>
    <row r="5" spans="1:27" ht="16" x14ac:dyDescent="0.2">
      <c r="A5" s="36" t="s">
        <v>84</v>
      </c>
      <c r="B5" s="37">
        <v>5.1700000000000003E-2</v>
      </c>
      <c r="C5" s="37">
        <v>1.9665500000000001E-7</v>
      </c>
      <c r="D5" s="43">
        <v>1.96655E-5</v>
      </c>
      <c r="E5" s="38">
        <v>32</v>
      </c>
      <c r="J5" s="13" t="s">
        <v>85</v>
      </c>
      <c r="K5" s="21">
        <v>0.89</v>
      </c>
      <c r="L5" s="13" t="s">
        <v>86</v>
      </c>
    </row>
    <row r="6" spans="1:27" x14ac:dyDescent="0.2">
      <c r="A6" s="38" t="s">
        <v>42</v>
      </c>
      <c r="B6" s="37">
        <v>2.2800000000000001E-2</v>
      </c>
      <c r="C6" s="37">
        <v>8.6914499999999994E-8</v>
      </c>
      <c r="D6" s="43">
        <v>8.6914499999999996E-6</v>
      </c>
      <c r="E6" s="31">
        <v>128</v>
      </c>
      <c r="J6" s="13" t="s">
        <v>87</v>
      </c>
      <c r="K6" s="17">
        <v>1.2129208640000001E-4</v>
      </c>
      <c r="L6" s="13" t="s">
        <v>100</v>
      </c>
    </row>
    <row r="7" spans="1:27" x14ac:dyDescent="0.2">
      <c r="A7" s="38" t="s">
        <v>43</v>
      </c>
      <c r="B7" s="37">
        <v>2.0400000000000001E-2</v>
      </c>
      <c r="C7" s="37">
        <v>7.7648600000000001E-8</v>
      </c>
      <c r="D7" s="43">
        <v>7.7648599999999997E-6</v>
      </c>
      <c r="E7" s="31">
        <v>155</v>
      </c>
      <c r="J7" s="13" t="s">
        <v>88</v>
      </c>
      <c r="K7" s="13">
        <v>0.38100000000000001</v>
      </c>
      <c r="L7" s="13" t="s">
        <v>89</v>
      </c>
    </row>
    <row r="8" spans="1:27" x14ac:dyDescent="0.2">
      <c r="A8" s="38" t="s">
        <v>44</v>
      </c>
      <c r="B8" s="37">
        <v>1.8599999999999998E-2</v>
      </c>
      <c r="C8" s="37">
        <v>7.0641000000000004E-8</v>
      </c>
      <c r="D8" s="43">
        <v>7.0640999999999998E-6</v>
      </c>
      <c r="E8" s="31">
        <v>182</v>
      </c>
      <c r="J8" s="13" t="s">
        <v>90</v>
      </c>
      <c r="K8" s="13">
        <v>25</v>
      </c>
      <c r="L8" s="13" t="s">
        <v>91</v>
      </c>
    </row>
    <row r="9" spans="1:27" x14ac:dyDescent="0.2">
      <c r="A9" s="38" t="s">
        <v>45</v>
      </c>
      <c r="B9" s="37">
        <v>1.7100000000000001E-2</v>
      </c>
      <c r="C9" s="37">
        <v>6.4930899999999995E-8</v>
      </c>
      <c r="D9" s="43">
        <v>6.4930899999999999E-6</v>
      </c>
      <c r="E9" s="31">
        <v>210</v>
      </c>
      <c r="J9" s="17" t="s">
        <v>92</v>
      </c>
      <c r="K9" s="17">
        <v>1</v>
      </c>
      <c r="L9" s="13"/>
    </row>
    <row r="10" spans="1:27" x14ac:dyDescent="0.2">
      <c r="A10" s="38" t="s">
        <v>46</v>
      </c>
      <c r="B10" s="37">
        <v>1.5900000000000001E-2</v>
      </c>
      <c r="C10" s="37">
        <v>6.0466099999999999E-8</v>
      </c>
      <c r="D10" s="43">
        <v>6.0466099999999997E-6</v>
      </c>
      <c r="E10" s="31">
        <v>237</v>
      </c>
      <c r="J10" s="17" t="s">
        <v>93</v>
      </c>
      <c r="K10" s="17">
        <v>1.5</v>
      </c>
      <c r="L10" s="13"/>
      <c r="Y10" s="22"/>
      <c r="Z10" s="22"/>
      <c r="AA10" s="23"/>
    </row>
    <row r="11" spans="1:27" x14ac:dyDescent="0.2">
      <c r="A11" s="38" t="s">
        <v>47</v>
      </c>
      <c r="B11" s="37">
        <v>1.49E-2</v>
      </c>
      <c r="C11" s="37">
        <v>5.6616999999999997E-8</v>
      </c>
      <c r="D11" s="43">
        <v>5.6617000000000004E-6</v>
      </c>
      <c r="E11" s="31">
        <v>265</v>
      </c>
      <c r="J11" s="17" t="s">
        <v>94</v>
      </c>
      <c r="K11" s="17">
        <v>0.38100000000000001</v>
      </c>
      <c r="L11" s="13"/>
      <c r="Y11" s="24"/>
      <c r="Z11" s="25"/>
      <c r="AA11" s="25"/>
    </row>
    <row r="12" spans="1:27" x14ac:dyDescent="0.2">
      <c r="A12" s="38" t="s">
        <v>48</v>
      </c>
      <c r="B12" s="37">
        <v>1.4E-2</v>
      </c>
      <c r="C12" s="37">
        <v>5.3472200000000002E-8</v>
      </c>
      <c r="D12" s="43">
        <v>5.3472199999999999E-6</v>
      </c>
      <c r="E12" s="31">
        <v>292</v>
      </c>
      <c r="J12" s="17" t="s">
        <v>95</v>
      </c>
      <c r="K12" s="17">
        <v>1.05</v>
      </c>
      <c r="L12" s="13"/>
      <c r="Y12" s="24"/>
      <c r="Z12" s="25"/>
      <c r="AA12" s="25"/>
    </row>
    <row r="13" spans="1:27" x14ac:dyDescent="0.2">
      <c r="A13" s="38" t="s">
        <v>49</v>
      </c>
      <c r="B13" s="37">
        <v>2.5499999999999998E-2</v>
      </c>
      <c r="C13" s="37">
        <v>9.7125599999999997E-8</v>
      </c>
      <c r="D13" s="37">
        <v>9.7125599999999997E-6</v>
      </c>
      <c r="E13" s="44">
        <v>106</v>
      </c>
      <c r="J13" s="17" t="s">
        <v>96</v>
      </c>
      <c r="K13" s="17">
        <v>1.6962843299999999</v>
      </c>
      <c r="L13" s="13"/>
      <c r="Y13" s="24"/>
      <c r="Z13" s="25"/>
      <c r="AA13" s="25"/>
    </row>
    <row r="14" spans="1:27" x14ac:dyDescent="0.2">
      <c r="A14" s="38" t="s">
        <v>50</v>
      </c>
      <c r="B14" s="37">
        <v>2.2200000000000001E-2</v>
      </c>
      <c r="C14" s="37">
        <v>8.4600700000000001E-8</v>
      </c>
      <c r="D14" s="37">
        <v>8.4600700000000001E-6</v>
      </c>
      <c r="E14" s="31">
        <v>134</v>
      </c>
      <c r="Y14" s="24"/>
      <c r="Z14" s="25"/>
      <c r="AA14" s="25"/>
    </row>
    <row r="15" spans="1:27" x14ac:dyDescent="0.2">
      <c r="A15" s="38" t="s">
        <v>57</v>
      </c>
      <c r="B15" s="37">
        <v>1.8100000000000002E-2</v>
      </c>
      <c r="C15" s="37">
        <v>6.9088000000000003E-8</v>
      </c>
      <c r="D15" s="37">
        <v>6.9087999999999998E-6</v>
      </c>
      <c r="E15" s="31">
        <v>189</v>
      </c>
      <c r="Y15" s="24"/>
      <c r="Z15" s="25"/>
      <c r="AA15" s="25"/>
    </row>
    <row r="16" spans="1:27" x14ac:dyDescent="0.2">
      <c r="A16" s="38" t="s">
        <v>51</v>
      </c>
      <c r="B16" s="37">
        <v>1.9900000000000001E-2</v>
      </c>
      <c r="C16" s="37">
        <v>7.5654499999999998E-8</v>
      </c>
      <c r="D16" s="37">
        <v>7.5654499999999997E-6</v>
      </c>
      <c r="E16" s="31">
        <v>162</v>
      </c>
      <c r="Y16" s="24"/>
      <c r="Z16" s="25"/>
      <c r="AA16" s="25"/>
    </row>
    <row r="17" spans="1:27" x14ac:dyDescent="0.2">
      <c r="A17" s="38" t="s">
        <v>52</v>
      </c>
      <c r="B17" s="37">
        <v>1.67E-2</v>
      </c>
      <c r="C17" s="37">
        <v>6.3688999999999995E-8</v>
      </c>
      <c r="D17" s="37">
        <v>6.3689000000000001E-6</v>
      </c>
      <c r="E17" s="31">
        <v>217</v>
      </c>
      <c r="Y17" s="24"/>
      <c r="Z17" s="25"/>
      <c r="AA17" s="25"/>
    </row>
    <row r="18" spans="1:27" x14ac:dyDescent="0.2">
      <c r="A18" s="38" t="s">
        <v>53</v>
      </c>
      <c r="B18" s="37">
        <v>1.46E-2</v>
      </c>
      <c r="C18" s="37">
        <v>5.5754200000000002E-8</v>
      </c>
      <c r="D18" s="37">
        <v>5.5754199999999997E-6</v>
      </c>
      <c r="E18" s="31">
        <v>272</v>
      </c>
      <c r="Y18" s="24"/>
      <c r="Z18" s="25"/>
      <c r="AA18" s="25"/>
    </row>
    <row r="19" spans="1:27" x14ac:dyDescent="0.2">
      <c r="A19" s="38" t="s">
        <v>54</v>
      </c>
      <c r="B19" s="37">
        <v>1.78E-2</v>
      </c>
      <c r="C19" s="37">
        <v>6.7827899999999998E-8</v>
      </c>
      <c r="D19" s="37">
        <v>6.7827899999999998E-6</v>
      </c>
      <c r="E19" s="31">
        <v>195</v>
      </c>
      <c r="Y19" s="24"/>
      <c r="Z19" s="25"/>
      <c r="AA19" s="25"/>
    </row>
    <row r="20" spans="1:27" x14ac:dyDescent="0.2">
      <c r="A20" s="38" t="s">
        <v>55</v>
      </c>
      <c r="B20" s="37">
        <v>1.54E-2</v>
      </c>
      <c r="C20" s="37">
        <v>5.8593900000000003E-8</v>
      </c>
      <c r="D20" s="37">
        <v>5.8593900000000003E-6</v>
      </c>
      <c r="E20" s="31">
        <v>250</v>
      </c>
      <c r="Y20" s="24"/>
      <c r="Z20" s="25"/>
      <c r="AA20" s="25"/>
    </row>
    <row r="21" spans="1:27" x14ac:dyDescent="0.2">
      <c r="A21" s="38" t="s">
        <v>56</v>
      </c>
      <c r="B21" s="37">
        <v>1.37E-2</v>
      </c>
      <c r="C21" s="37">
        <v>5.21178E-8</v>
      </c>
      <c r="D21" s="37">
        <v>5.2117800000000001E-6</v>
      </c>
      <c r="E21" s="31">
        <v>305</v>
      </c>
      <c r="Y21" s="24"/>
      <c r="Z21" s="25"/>
      <c r="AA21" s="25"/>
    </row>
    <row r="22" spans="1:27" x14ac:dyDescent="0.2">
      <c r="A22" s="38" t="s">
        <v>97</v>
      </c>
      <c r="B22" s="37">
        <v>1.5800000000000002E-2</v>
      </c>
      <c r="C22" s="37">
        <v>6.0019800000000007E-8</v>
      </c>
      <c r="D22" s="37">
        <v>6.0019799999999998E-6</v>
      </c>
      <c r="E22" s="31">
        <v>240</v>
      </c>
      <c r="Y22" s="24"/>
      <c r="Z22" s="25"/>
      <c r="AA22" s="25"/>
    </row>
    <row r="23" spans="1:27" x14ac:dyDescent="0.2">
      <c r="A23" s="38" t="s">
        <v>98</v>
      </c>
      <c r="B23" s="37">
        <v>1.5299999999999999E-2</v>
      </c>
      <c r="C23" s="37">
        <v>5.8319500000000002E-8</v>
      </c>
      <c r="D23" s="37">
        <v>5.8319500000000001E-6</v>
      </c>
      <c r="E23" s="31">
        <v>252</v>
      </c>
      <c r="Y23" s="24"/>
      <c r="Z23" s="25"/>
      <c r="AA23" s="25"/>
    </row>
    <row r="24" spans="1:27" x14ac:dyDescent="0.2">
      <c r="A24" s="24"/>
      <c r="B24" s="25"/>
      <c r="C24" s="25"/>
      <c r="Y24" s="24"/>
      <c r="Z24" s="25"/>
      <c r="AA24" s="25"/>
    </row>
    <row r="25" spans="1:27" x14ac:dyDescent="0.2">
      <c r="A25" s="24"/>
      <c r="B25" s="25"/>
      <c r="C25" s="25"/>
      <c r="Y25" s="24"/>
      <c r="Z25" s="25"/>
      <c r="AA25" s="25"/>
    </row>
    <row r="26" spans="1:27" x14ac:dyDescent="0.2">
      <c r="A26" s="24"/>
      <c r="B26" s="25"/>
      <c r="C26" s="25"/>
      <c r="Y26" s="24"/>
      <c r="Z26" s="25"/>
      <c r="AA26" s="25"/>
    </row>
    <row r="27" spans="1:27" x14ac:dyDescent="0.2">
      <c r="A27" s="24"/>
      <c r="B27" s="25"/>
      <c r="C27" s="25"/>
      <c r="Y27" s="24"/>
      <c r="Z27" s="25"/>
      <c r="AA27" s="25"/>
    </row>
    <row r="28" spans="1:27" x14ac:dyDescent="0.2">
      <c r="A28" s="24"/>
      <c r="B28" s="25"/>
      <c r="C28" s="25"/>
      <c r="Y28" s="24"/>
      <c r="Z28" s="25"/>
      <c r="AA28" s="25"/>
    </row>
    <row r="29" spans="1:27" x14ac:dyDescent="0.2">
      <c r="A29" s="24"/>
      <c r="B29" s="25"/>
      <c r="C29" s="25"/>
    </row>
    <row r="30" spans="1:27" x14ac:dyDescent="0.2">
      <c r="A30" s="24"/>
      <c r="B30" s="25"/>
      <c r="C30" s="25"/>
    </row>
    <row r="31" spans="1:27" x14ac:dyDescent="0.2">
      <c r="A31" s="24"/>
      <c r="B31" s="25"/>
      <c r="C31" s="25"/>
    </row>
    <row r="32" spans="1:27" x14ac:dyDescent="0.2">
      <c r="A32" s="24"/>
      <c r="B32" s="25"/>
      <c r="C32" s="25"/>
    </row>
    <row r="33" spans="1:25" x14ac:dyDescent="0.2">
      <c r="A33" s="24"/>
      <c r="B33" s="25"/>
      <c r="C33" s="25"/>
    </row>
    <row r="34" spans="1:25" x14ac:dyDescent="0.2">
      <c r="A34" s="24"/>
      <c r="B34" s="25"/>
      <c r="C34" s="25"/>
    </row>
    <row r="35" spans="1:25" x14ac:dyDescent="0.2">
      <c r="A35" s="41"/>
      <c r="B35" s="41"/>
      <c r="C35" s="41"/>
    </row>
    <row r="36" spans="1:25" x14ac:dyDescent="0.2">
      <c r="A36" s="41"/>
      <c r="B36" s="41"/>
      <c r="C36" s="25"/>
    </row>
    <row r="37" spans="1:25" x14ac:dyDescent="0.2">
      <c r="A37" s="41"/>
      <c r="B37" s="41"/>
      <c r="C37" s="25"/>
    </row>
    <row r="38" spans="1:25" x14ac:dyDescent="0.2">
      <c r="A38" s="41"/>
      <c r="B38" s="41"/>
      <c r="C38" s="25"/>
    </row>
    <row r="43" spans="1:25" x14ac:dyDescent="0.2">
      <c r="A43" s="6"/>
      <c r="B43" s="26"/>
      <c r="C43" s="26"/>
      <c r="D43" s="26"/>
      <c r="E43" s="26"/>
      <c r="F43" s="26"/>
      <c r="G43" s="26"/>
      <c r="H43" s="26"/>
      <c r="I43" s="26"/>
      <c r="J43" s="26"/>
      <c r="K43" s="26"/>
      <c r="L43" s="26"/>
      <c r="M43" s="26"/>
      <c r="N43" s="26"/>
      <c r="O43" s="26"/>
      <c r="P43" s="26"/>
      <c r="Q43" s="26"/>
      <c r="R43" s="26"/>
      <c r="S43" s="26"/>
      <c r="T43" s="26"/>
      <c r="U43" s="26"/>
      <c r="V43" s="26"/>
      <c r="W43" s="26"/>
      <c r="X43" s="26"/>
      <c r="Y43" s="26"/>
    </row>
    <row r="44" spans="1:25" x14ac:dyDescent="0.2">
      <c r="A44" s="6"/>
      <c r="B44" s="6"/>
      <c r="C44" s="6"/>
      <c r="D44" s="6"/>
      <c r="E44" s="6"/>
      <c r="F44" s="6"/>
      <c r="G44" s="6"/>
      <c r="H44" s="6"/>
      <c r="I44" s="6"/>
      <c r="J44" s="6"/>
      <c r="K44" s="6"/>
      <c r="L44" s="6"/>
      <c r="M44" s="6"/>
      <c r="N44" s="6"/>
      <c r="O44" s="6"/>
      <c r="P44" s="6"/>
      <c r="Q44" s="6"/>
      <c r="R44" s="6"/>
      <c r="S44" s="6"/>
      <c r="T44" s="6"/>
      <c r="U44" s="6"/>
      <c r="V44" s="6"/>
      <c r="W44" s="6"/>
      <c r="X44" s="10"/>
      <c r="Y44" s="6"/>
    </row>
    <row r="45" spans="1:25"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2">
      <c r="A46" s="6"/>
      <c r="B46" s="6"/>
      <c r="C46" s="6"/>
      <c r="D46" s="6"/>
      <c r="E46" s="6"/>
      <c r="F46" s="6"/>
      <c r="G46" s="6"/>
      <c r="H46" s="6"/>
      <c r="I46" s="6"/>
      <c r="J46" s="6"/>
      <c r="K46" s="6"/>
      <c r="L46" s="6"/>
      <c r="M46" s="6"/>
      <c r="N46" s="6"/>
      <c r="O46" s="6"/>
      <c r="P46" s="6"/>
      <c r="Q46" s="6"/>
      <c r="R46" s="6"/>
      <c r="S46" s="6"/>
      <c r="T46" s="6"/>
      <c r="U46" s="6"/>
      <c r="V46" s="6"/>
      <c r="W46" s="6"/>
      <c r="X46" s="6"/>
      <c r="Y46" s="6"/>
    </row>
    <row r="47" spans="1:25"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x14ac:dyDescent="0.2">
      <c r="A48" s="6"/>
      <c r="B48" s="6"/>
      <c r="C48" s="6"/>
      <c r="D48" s="6"/>
      <c r="E48" s="6"/>
      <c r="F48" s="12"/>
      <c r="G48" s="12"/>
      <c r="H48" s="6"/>
      <c r="I48" s="6"/>
      <c r="J48" s="12"/>
      <c r="K48" s="6"/>
      <c r="L48" s="6"/>
      <c r="M48" s="12"/>
      <c r="N48" s="6"/>
      <c r="O48" s="6"/>
      <c r="P48" s="6"/>
      <c r="Q48" s="6"/>
      <c r="R48" s="12"/>
      <c r="S48" s="6"/>
      <c r="T48" s="6"/>
      <c r="U48" s="6"/>
      <c r="V48" s="6"/>
      <c r="W48" s="6"/>
      <c r="X48" s="6"/>
      <c r="Y48" s="6"/>
    </row>
    <row r="49" spans="1:25" x14ac:dyDescent="0.2">
      <c r="A49" s="6"/>
      <c r="B49" s="6"/>
      <c r="C49" s="6"/>
      <c r="D49" s="6"/>
      <c r="E49" s="6"/>
      <c r="F49" s="6"/>
      <c r="G49" s="6"/>
      <c r="H49" s="6"/>
      <c r="I49" s="6"/>
      <c r="J49" s="6"/>
      <c r="K49" s="6"/>
      <c r="L49" s="6"/>
      <c r="M49" s="6"/>
      <c r="N49" s="6"/>
      <c r="O49" s="6"/>
      <c r="P49" s="6"/>
      <c r="Q49" s="6"/>
      <c r="R49" s="6"/>
      <c r="S49" s="6"/>
      <c r="T49" s="6"/>
      <c r="U49" s="6"/>
      <c r="V49" s="6"/>
      <c r="W49" s="6"/>
      <c r="X49" s="6"/>
      <c r="Y49"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57DF-418B-48B7-8133-ABF04E7715B5}">
  <dimension ref="A1:B9"/>
  <sheetViews>
    <sheetView zoomScale="69" workbookViewId="0">
      <selection activeCell="B4" sqref="B4"/>
    </sheetView>
    <sheetView workbookViewId="1"/>
  </sheetViews>
  <sheetFormatPr baseColWidth="10" defaultColWidth="8.83203125" defaultRowHeight="31" x14ac:dyDescent="0.35"/>
  <cols>
    <col min="1" max="1" width="9.1640625" style="2"/>
    <col min="2" max="2" width="148" style="3" customWidth="1"/>
  </cols>
  <sheetData>
    <row r="1" spans="1:2" ht="32" x14ac:dyDescent="0.35">
      <c r="B1" s="4" t="s">
        <v>35</v>
      </c>
    </row>
    <row r="2" spans="1:2" ht="64" x14ac:dyDescent="0.35">
      <c r="A2" s="2">
        <v>1</v>
      </c>
      <c r="B2" s="3" t="s">
        <v>36</v>
      </c>
    </row>
    <row r="3" spans="1:2" ht="64" x14ac:dyDescent="0.35">
      <c r="A3" s="2">
        <v>2</v>
      </c>
      <c r="B3" s="3" t="s">
        <v>37</v>
      </c>
    </row>
    <row r="4" spans="1:2" ht="128" x14ac:dyDescent="0.35">
      <c r="A4" s="2">
        <v>3</v>
      </c>
      <c r="B4" s="3" t="s">
        <v>41</v>
      </c>
    </row>
    <row r="6" spans="1:2" ht="64" x14ac:dyDescent="0.35">
      <c r="A6" s="2">
        <v>4</v>
      </c>
      <c r="B6" s="3" t="s">
        <v>38</v>
      </c>
    </row>
    <row r="7" spans="1:2" ht="64" x14ac:dyDescent="0.35">
      <c r="A7" s="2">
        <v>5</v>
      </c>
      <c r="B7" s="3" t="s">
        <v>39</v>
      </c>
    </row>
    <row r="9" spans="1:2" ht="64" x14ac:dyDescent="0.35">
      <c r="A9" s="2">
        <v>6</v>
      </c>
      <c r="B9" s="3"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29f62856-1543-49d4-a736-4569d363f533"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AA3E377063FFE5489A04E78E6AF321F7" ma:contentTypeVersion="21" ma:contentTypeDescription="Create a new document." ma:contentTypeScope="" ma:versionID="0d56b0910c09b2f28088e837fc8a4b1f">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ca243fbf-11ff-4731-ae3b-9fc118f3bbf4" xmlns:ns7="d75150bc-12f9-4c92-a7eb-e71bcd8ee9be" targetNamespace="http://schemas.microsoft.com/office/2006/metadata/properties" ma:root="true" ma:fieldsID="c38d2d5698dbedce593845e142ad0a0f" ns1:_="" ns3:_="" ns4:_="" ns5:_="" ns6:_="" ns7:_="">
    <xsd:import namespace="http://schemas.microsoft.com/sharepoint/v3"/>
    <xsd:import namespace="4ffa91fb-a0ff-4ac5-b2db-65c790d184a4"/>
    <xsd:import namespace="http://schemas.microsoft.com/sharepoint.v3"/>
    <xsd:import namespace="http://schemas.microsoft.com/sharepoint/v3/fields"/>
    <xsd:import namespace="ca243fbf-11ff-4731-ae3b-9fc118f3bbf4"/>
    <xsd:import namespace="d75150bc-12f9-4c92-a7eb-e71bcd8ee9be"/>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7:MediaServiceMetadata" minOccurs="0"/>
                <xsd:element ref="ns7:MediaServiceFastMetadata" minOccurs="0"/>
                <xsd:element ref="ns7:MediaServiceDateTaken" minOccurs="0"/>
                <xsd:element ref="ns7:MediaServiceAutoTags" minOccurs="0"/>
                <xsd:element ref="ns7:MediaServiceOCR" minOccurs="0"/>
                <xsd:element ref="ns6:Records_x0020_Status" minOccurs="0"/>
                <xsd:element ref="ns6:Records_x0020_Date" minOccurs="0"/>
                <xsd:element ref="ns7:MediaServiceEventHashCode" minOccurs="0"/>
                <xsd:element ref="ns7:MediaServiceGenerationTim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60f3e050-a167-4ccb-81b0-6594d9f55f70}" ma:internalName="TaxCatchAllLabel" ma:readOnly="true" ma:showField="CatchAllDataLabel" ma:web="ca243fbf-11ff-4731-ae3b-9fc118f3bbf4">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60f3e050-a167-4ccb-81b0-6594d9f55f70}" ma:internalName="TaxCatchAll" ma:showField="CatchAllData" ma:web="ca243fbf-11ff-4731-ae3b-9fc118f3bbf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43fbf-11ff-4731-ae3b-9fc118f3bbf4"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internalName="SharingHintHash" ma:readOnly="true">
      <xsd:simpleType>
        <xsd:restriction base="dms:Text"/>
      </xsd:simpleType>
    </xsd:element>
    <xsd:element name="Records_x0020_Status" ma:index="36" nillable="true" ma:displayName="Records Status" ma:default="Pending" ma:internalName="Records_x0020_Status">
      <xsd:simpleType>
        <xsd:restriction base="dms:Text"/>
      </xsd:simpleType>
    </xsd:element>
    <xsd:element name="Records_x0020_Date" ma:index="37"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75150bc-12f9-4c92-a7eb-e71bcd8ee9be" elementFormDefault="qualified">
    <xsd:import namespace="http://schemas.microsoft.com/office/2006/documentManagement/types"/>
    <xsd:import namespace="http://schemas.microsoft.com/office/infopath/2007/PartnerControls"/>
    <xsd:element name="MediaServiceMetadata" ma:index="31" nillable="true" ma:displayName="MediaServiceMetadata" ma:description="" ma:hidden="true" ma:internalName="MediaServiceMetadata" ma:readOnly="true">
      <xsd:simpleType>
        <xsd:restriction base="dms:Note"/>
      </xsd:simpleType>
    </xsd:element>
    <xsd:element name="MediaServiceFastMetadata" ma:index="32" nillable="true" ma:displayName="MediaServiceFastMetadata" ma:description="" ma:hidden="true" ma:internalName="MediaServiceFastMetadata" ma:readOnly="true">
      <xsd:simpleType>
        <xsd:restriction base="dms:Note"/>
      </xsd:simpleType>
    </xsd:element>
    <xsd:element name="MediaServiceDateTaken" ma:index="33" nillable="true" ma:displayName="MediaServiceDateTaken" ma:description="" ma:hidden="true" ma:internalName="MediaServiceDateTaken" ma:readOnly="true">
      <xsd:simpleType>
        <xsd:restriction base="dms:Text"/>
      </xsd:simpleType>
    </xsd:element>
    <xsd:element name="MediaServiceAutoTags" ma:index="34" nillable="true" ma:displayName="MediaServiceAutoTags" ma:internalName="MediaServiceAutoTags" ma:readOnly="true">
      <xsd:simpleType>
        <xsd:restriction base="dms:Text"/>
      </xsd:simpleType>
    </xsd:element>
    <xsd:element name="MediaServiceOCR" ma:index="35" nillable="true" ma:displayName="MediaServiceOCR" ma:internalName="MediaServiceOCR" ma:readOnly="true">
      <xsd:simpleType>
        <xsd:restriction base="dms:Note">
          <xsd:maxLength value="255"/>
        </xsd:restriction>
      </xsd:simpleType>
    </xsd:element>
    <xsd:element name="MediaServiceEventHashCode" ma:index="38" nillable="true" ma:displayName="MediaServiceEventHashCode" ma:hidden="true" ma:internalName="MediaServiceEventHashCode" ma:readOnly="true">
      <xsd:simpleType>
        <xsd:restriction base="dms:Text"/>
      </xsd:simpleType>
    </xsd:element>
    <xsd:element name="MediaServiceGenerationTime" ma:index="39" nillable="true" ma:displayName="MediaServiceGenerationTime" ma:hidden="true" ma:internalName="MediaServiceGenerationTim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s_x0020_Date xmlns="ca243fbf-11ff-4731-ae3b-9fc118f3bbf4" xsi:nil="true"/>
    <Record xmlns="4ffa91fb-a0ff-4ac5-b2db-65c790d184a4">Shared</Record>
    <Rights xmlns="4ffa91fb-a0ff-4ac5-b2db-65c790d184a4" xsi:nil="true"/>
    <Records_x0020_Status xmlns="ca243fbf-11ff-4731-ae3b-9fc118f3bbf4">Pending</Records_x0020_Status>
    <Document_x0020_Creation_x0020_Date xmlns="4ffa91fb-a0ff-4ac5-b2db-65c790d184a4">2020-06-12T12:44:56+00:00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Props1.xml><?xml version="1.0" encoding="utf-8"?>
<ds:datastoreItem xmlns:ds="http://schemas.openxmlformats.org/officeDocument/2006/customXml" ds:itemID="{E301F64B-2E68-42FE-B72F-07064BA5C6EE}">
  <ds:schemaRefs>
    <ds:schemaRef ds:uri="http://schemas.microsoft.com/sharepoint/v3/contenttype/forms"/>
  </ds:schemaRefs>
</ds:datastoreItem>
</file>

<file path=customXml/itemProps2.xml><?xml version="1.0" encoding="utf-8"?>
<ds:datastoreItem xmlns:ds="http://schemas.openxmlformats.org/officeDocument/2006/customXml" ds:itemID="{7BB79E98-5AD2-42D4-8617-624CBCC2A96C}">
  <ds:schemaRefs>
    <ds:schemaRef ds:uri="Microsoft.SharePoint.Taxonomy.ContentTypeSync"/>
  </ds:schemaRefs>
</ds:datastoreItem>
</file>

<file path=customXml/itemProps3.xml><?xml version="1.0" encoding="utf-8"?>
<ds:datastoreItem xmlns:ds="http://schemas.openxmlformats.org/officeDocument/2006/customXml" ds:itemID="{E0D265CA-67CD-4AD3-99A3-30810910E7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ca243fbf-11ff-4731-ae3b-9fc118f3bbf4"/>
    <ds:schemaRef ds:uri="d75150bc-12f9-4c92-a7eb-e71bcd8ee9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5D2AB43-1478-4761-B6C2-35F0AE76DC6E}">
  <ds:schemaRef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http://purl.org/dc/terms/"/>
    <ds:schemaRef ds:uri="d75150bc-12f9-4c92-a7eb-e71bcd8ee9be"/>
    <ds:schemaRef ds:uri="ca243fbf-11ff-4731-ae3b-9fc118f3bbf4"/>
    <ds:schemaRef ds:uri="http://schemas.microsoft.com/office/2006/documentManagement/types"/>
    <ds:schemaRef ds:uri="http://schemas.microsoft.com/sharepoint/v3/fields"/>
    <ds:schemaRef ds:uri="http://schemas.microsoft.com/sharepoint.v3"/>
    <ds:schemaRef ds:uri="4ffa91fb-a0ff-4ac5-b2db-65c790d184a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Properties</vt:lpstr>
      <vt:lpstr>Kdata</vt:lpstr>
      <vt:lpstr>columnSpecs</vt:lpstr>
      <vt:lpstr>data</vt:lpstr>
      <vt:lpstr>kf_val</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Burkhardt, Jonathan</dc:creator>
  <cp:lastModifiedBy>Mohammed Faran</cp:lastModifiedBy>
  <dcterms:created xsi:type="dcterms:W3CDTF">2020-06-12T12:40:36Z</dcterms:created>
  <dcterms:modified xsi:type="dcterms:W3CDTF">2026-05-05T20:21:24Z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0x010100AA3E377063FFE5489A04E78E6AF321F7</vt:lpwstr>
  </property>
</Properties>
</file>