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ohammedfaran/Desktop/Research project &amp; material/IX/PSDM/"/>
    </mc:Choice>
  </mc:AlternateContent>
  <xr:revisionPtr revIDLastSave="0" documentId="13_ncr:1_{22D10D0E-4ED2-ED45-BF61-E69E340276A4}" xr6:coauthVersionLast="47" xr6:coauthVersionMax="47" xr10:uidLastSave="{00000000-0000-0000-0000-000000000000}"/>
  <bookViews>
    <workbookView visibility="hidden" xWindow="0" yWindow="0" windowWidth="28800" windowHeight="18000" activeTab="1" xr2:uid="{317BF3F6-A68C-4964-9BC3-AEDC7E3058F4}"/>
    <workbookView xWindow="980" yWindow="660" windowWidth="14180" windowHeight="16000" activeTab="4" xr2:uid="{98653675-A938-D14F-A750-90C4B098C7EB}"/>
  </bookViews>
  <sheets>
    <sheet name="Properties" sheetId="1" r:id="rId1"/>
    <sheet name="Kdata" sheetId="3" r:id="rId2"/>
    <sheet name="columnSpecs" sheetId="4" r:id="rId3"/>
    <sheet name="data" sheetId="5" r:id="rId4"/>
    <sheet name="kf_val" sheetId="7" r:id="rId5"/>
    <sheet name="Not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B9" i="4"/>
  <c r="B3" i="4"/>
  <c r="Y3" i="1"/>
  <c r="X3" i="1"/>
  <c r="W3" i="1"/>
  <c r="V3" i="1"/>
  <c r="U3" i="1"/>
  <c r="S3" i="1"/>
  <c r="R3" i="1"/>
  <c r="O3" i="1"/>
  <c r="N3" i="1"/>
  <c r="M3" i="1"/>
  <c r="L3" i="1"/>
  <c r="J3" i="1"/>
  <c r="G3" i="1"/>
  <c r="D3" i="1"/>
  <c r="C3" i="1"/>
  <c r="B3" i="1"/>
</calcChain>
</file>

<file path=xl/sharedStrings.xml><?xml version="1.0" encoding="utf-8"?>
<sst xmlns="http://schemas.openxmlformats.org/spreadsheetml/2006/main" count="1826" uniqueCount="112">
  <si>
    <t>MW</t>
  </si>
  <si>
    <t>MolarVol</t>
  </si>
  <si>
    <t>BP</t>
  </si>
  <si>
    <t>Density</t>
  </si>
  <si>
    <t>Solubility</t>
  </si>
  <si>
    <t>VaporPress</t>
  </si>
  <si>
    <t>K</t>
  </si>
  <si>
    <t>1/n</t>
  </si>
  <si>
    <t>q</t>
  </si>
  <si>
    <t>brk</t>
  </si>
  <si>
    <t>AveC</t>
  </si>
  <si>
    <t>name</t>
  </si>
  <si>
    <t>value</t>
  </si>
  <si>
    <t>units</t>
  </si>
  <si>
    <t>carbonID</t>
  </si>
  <si>
    <t>radius</t>
  </si>
  <si>
    <t>cm</t>
  </si>
  <si>
    <t>porosity</t>
  </si>
  <si>
    <t>psdfr</t>
  </si>
  <si>
    <t>particleDensity</t>
  </si>
  <si>
    <t>g/ml</t>
  </si>
  <si>
    <t>length</t>
  </si>
  <si>
    <t>weight</t>
  </si>
  <si>
    <t>flowrate</t>
  </si>
  <si>
    <t>diameter</t>
  </si>
  <si>
    <t>tortuosity</t>
  </si>
  <si>
    <t>influentID</t>
  </si>
  <si>
    <t>influent</t>
  </si>
  <si>
    <t>effluentID</t>
  </si>
  <si>
    <t>effluent</t>
  </si>
  <si>
    <t>apparentDensity</t>
  </si>
  <si>
    <t>time</t>
  </si>
  <si>
    <t>type</t>
  </si>
  <si>
    <t>concentration</t>
  </si>
  <si>
    <t>compound</t>
  </si>
  <si>
    <t>This file contains information for example run of Python-based PSDM Model</t>
  </si>
  <si>
    <t>Python script is provided the names of sheets that contain data, additional sheets can be included, and will not be used unless specified</t>
  </si>
  <si>
    <t>Python is case-sensitive, compound name and other input columns should be consistent throughout</t>
  </si>
  <si>
    <t>"Properties" and "Kdata" can be in individual files for real use, included in this single file for convenience. (Since these might be reused for multiple runs)</t>
  </si>
  <si>
    <t xml:space="preserve">Properties and Kdata can contain compounds that do not exist in data, but if it is in "data" there must be a corresponding Properties column/info. </t>
  </si>
  <si>
    <t>Kdata is only necessary if you are running with a known K &amp; 1/n value. If using optimizer features, then Kdata will be generated from that analysis.</t>
  </si>
  <si>
    <t>Python also pays attention to extra spaces, or characters. If data is accidently stored in columns outside the format in this file, then full row/column deletes must be used to remove those possible hidden characters. Also, blank spaces at the end of text will be read explicitly, and may cause errors in reading in parameters/values.</t>
  </si>
  <si>
    <t>PFBA</t>
  </si>
  <si>
    <t>PFPeA</t>
  </si>
  <si>
    <t>PFHxA</t>
  </si>
  <si>
    <t>PFHpA</t>
  </si>
  <si>
    <t>PFOA</t>
  </si>
  <si>
    <t>PFNA</t>
  </si>
  <si>
    <t>PFDA</t>
  </si>
  <si>
    <t>PFMOAA</t>
  </si>
  <si>
    <t>PMPA</t>
  </si>
  <si>
    <t>PFBS</t>
  </si>
  <si>
    <t>PFHxS</t>
  </si>
  <si>
    <t>PFOS</t>
  </si>
  <si>
    <t>4:2FTS</t>
  </si>
  <si>
    <t>6:2FTS</t>
  </si>
  <si>
    <t>8:2FTS</t>
  </si>
  <si>
    <t>GenX</t>
  </si>
  <si>
    <t>NafionBP2</t>
  </si>
  <si>
    <t>PFNS</t>
  </si>
  <si>
    <t>PFO2HxA</t>
  </si>
  <si>
    <t>PFO3OA</t>
  </si>
  <si>
    <t>PFO4DA</t>
  </si>
  <si>
    <t>PFMOPrA</t>
  </si>
  <si>
    <t>PFHpS</t>
  </si>
  <si>
    <t>PFPrS</t>
  </si>
  <si>
    <t>PFPeS</t>
  </si>
  <si>
    <t>PFA694e</t>
  </si>
  <si>
    <t>g</t>
  </si>
  <si>
    <t>cm3/min</t>
  </si>
  <si>
    <t>min</t>
  </si>
  <si>
    <t>Type</t>
  </si>
  <si>
    <t>DL (m2/L)</t>
  </si>
  <si>
    <t>DL (cm^2/s)</t>
  </si>
  <si>
    <t>Vb</t>
  </si>
  <si>
    <t>constants</t>
  </si>
  <si>
    <t>unit</t>
  </si>
  <si>
    <t>CHLORIDE</t>
  </si>
  <si>
    <t>dp</t>
  </si>
  <si>
    <t>SULFATE</t>
  </si>
  <si>
    <t>Re</t>
  </si>
  <si>
    <t>unitless</t>
  </si>
  <si>
    <t>BICARBONATE</t>
  </si>
  <si>
    <t>Sc</t>
  </si>
  <si>
    <t>NITRATE</t>
  </si>
  <si>
    <t>u</t>
  </si>
  <si>
    <t>cP</t>
  </si>
  <si>
    <t>vf</t>
  </si>
  <si>
    <t>porosity €</t>
  </si>
  <si>
    <t xml:space="preserve">non </t>
  </si>
  <si>
    <t>temp</t>
  </si>
  <si>
    <t>C deg</t>
  </si>
  <si>
    <t>n =</t>
  </si>
  <si>
    <t xml:space="preserve">shape factor = </t>
  </si>
  <si>
    <t>bed porosity</t>
  </si>
  <si>
    <t>density</t>
  </si>
  <si>
    <t>apparent density</t>
  </si>
  <si>
    <t>NFB1</t>
  </si>
  <si>
    <t>NFB2</t>
  </si>
  <si>
    <t>kf (cm/s)</t>
  </si>
  <si>
    <t>cm/s</t>
  </si>
  <si>
    <t>Compound  C₀ (ng/L)  K (µg/g)/(ng/L)      q (µg/g)  Breakthrough (days)  Final C/C₀  Mass Adsorbed (µg)  Dₐᵦ (cm²/s)   Dₚ (cm²/s)  Molar Volume (cm³/mol)</t>
  </si>
  <si>
    <t xml:space="preserve">  4:2FTS    300.000       126.387484  37916.245147             1.860752    1.276549         2934.717374 3.480221e-08 1.325964e-08                     195</t>
  </si>
  <si>
    <t xml:space="preserve">  6:2FTS    290.820       330.715997  96178.826152             3.578368    0.462423         7444.241144 3.006426e-08 1.145448e-08                     250</t>
  </si>
  <si>
    <t xml:space="preserve">    GenX    334.840       244.597954  81901.178863             3.292099    1.021008         6339.151244 3.544878e-08 1.350598e-08                     189</t>
  </si>
  <si>
    <t xml:space="preserve">    PFBA    407.480        44.865836  18281.930717             3.578368    0.996383         1415.021437 4.459545e-08 1.699087e-08                     128</t>
  </si>
  <si>
    <t xml:space="preserve">   PFHpA    327.625       335.957637 110068.120931             3.578368    0.384491         8519.272560 3.331579e-08 1.269331e-08                     210</t>
  </si>
  <si>
    <t xml:space="preserve">   PFHxA    349.000       235.655257  82243.684793             3.578368    0.995219         6365.661203 3.624559e-08 1.380957e-08                     182</t>
  </si>
  <si>
    <t xml:space="preserve">  PFMOAA    290.540        45.350354  13176.091995             0.715674    1.003592         1019.829520 4.983473e-08 1.898703e-08                     106</t>
  </si>
  <si>
    <t xml:space="preserve">   PFPeA    347.255       140.881473  48921.795965             1.860752    1.293426         3786.547008 3.984115e-08 1.517948e-08                     155</t>
  </si>
  <si>
    <t xml:space="preserve">    PMPA    211.265        86.108870  18191.790499             1.288213    1.142416         1408.044585 4.340827e-08 1.653855e-08                     134</t>
  </si>
  <si>
    <t>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</si>
</sst>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 \ "/>
    <numFmt numFmtId="165" formatCode="0.00000"/>
  </numFmts>
  <fonts count="16" x14ac:knownFonts="1">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sz val="24"/>
      <color theme="1"/>
      <name val="Calibri"/>
      <family val="2"/>
      <scheme val="minor"/>
    </font>
    <font>
      <b/>
      <sz val="24"/>
      <color rgb="FFFF0000"/>
      <name val="Calibri"/>
      <family val="2"/>
      <scheme val="minor"/>
    </font>
    <font>
      <sz val="11"/>
      <color theme="1"/>
      <name val="Calibri"/>
      <family val="2"/>
      <scheme val="minor"/>
    </font>
    <font>
      <sz val="11"/>
      <name val="Calibri"/>
      <family val="2"/>
      <scheme val="minor"/>
    </font>
    <font>
      <b/>
      <sz val="11"/>
      <name val="Calibri"/>
      <family val="2"/>
      <scheme val="minor"/>
    </font>
    <font>
      <sz val="9"/>
      <name val="Roboto"/>
    </font>
    <font>
      <sz val="12"/>
      <color rgb="FF000000"/>
      <name val="Aptos Narrow"/>
      <family val="2"/>
    </font>
    <font>
      <sz val="11"/>
      <color rgb="FF000000"/>
      <name val="Calibri"/>
      <family val="2"/>
    </font>
    <font>
      <sz val="11"/>
      <color rgb="FF000000"/>
      <name val="Aptos Narrow"/>
      <family val="2"/>
    </font>
    <font>
      <b/>
      <sz val="12"/>
      <color theme="1"/>
      <name val="Calibri"/>
      <family val="2"/>
      <scheme val="minor"/>
    </font>
    <font>
      <sz val="10"/>
      <color theme="1"/>
      <name val="Arial Unicode MS"/>
      <family val="2"/>
    </font>
    <font>
      <sz val="12"/>
      <color rgb="FF000000"/>
      <name val="Calibri"/>
      <family val="2"/>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3" fontId="6" fillId="0" borderId="0" applyFont="0" applyFill="0" applyBorder="0" applyAlignment="0" applyProtection="0"/>
  </cellStyleXfs>
  <cellXfs count="51">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horizontal="center"/>
    </xf>
    <xf numFmtId="0" fontId="7" fillId="0" borderId="0" xfId="0" applyFont="1" applyAlignment="1">
      <alignment horizontal="center"/>
    </xf>
    <xf numFmtId="0" fontId="8" fillId="0" borderId="1" xfId="0" applyFont="1" applyBorder="1" applyAlignment="1">
      <alignment horizontal="center" vertical="top"/>
    </xf>
    <xf numFmtId="0" fontId="8" fillId="0" borderId="2" xfId="0" applyFont="1" applyBorder="1" applyAlignment="1">
      <alignment horizontal="center" vertical="top"/>
    </xf>
    <xf numFmtId="0" fontId="8" fillId="0" borderId="3" xfId="0" applyFont="1" applyBorder="1" applyAlignment="1">
      <alignment horizontal="center" vertical="top"/>
    </xf>
    <xf numFmtId="0" fontId="9" fillId="0" borderId="0" xfId="0" applyFont="1" applyAlignment="1">
      <alignment horizontal="center"/>
    </xf>
    <xf numFmtId="2" fontId="7" fillId="0" borderId="0" xfId="0" applyNumberFormat="1" applyFont="1" applyAlignment="1">
      <alignment horizontal="center"/>
    </xf>
    <xf numFmtId="11" fontId="7" fillId="0" borderId="0" xfId="0" applyNumberFormat="1" applyFont="1" applyAlignment="1">
      <alignment horizontal="center"/>
    </xf>
    <xf numFmtId="0" fontId="0" fillId="0" borderId="1" xfId="0" applyBorder="1"/>
    <xf numFmtId="0" fontId="10" fillId="0" borderId="1" xfId="0" applyFont="1" applyBorder="1"/>
    <xf numFmtId="2" fontId="2" fillId="0" borderId="1" xfId="0" applyNumberFormat="1" applyFont="1" applyBorder="1" applyAlignment="1">
      <alignment horizontal="center"/>
    </xf>
    <xf numFmtId="2" fontId="11" fillId="0" borderId="1" xfId="0" applyNumberFormat="1" applyFont="1" applyBorder="1"/>
    <xf numFmtId="0" fontId="11" fillId="0" borderId="1" xfId="0" applyFont="1" applyBorder="1"/>
    <xf numFmtId="11" fontId="0" fillId="0" borderId="1" xfId="0" applyNumberFormat="1" applyBorder="1"/>
    <xf numFmtId="2" fontId="11" fillId="0" borderId="1" xfId="1" applyNumberFormat="1" applyFont="1" applyBorder="1" applyAlignment="1">
      <alignment horizontal="center"/>
    </xf>
    <xf numFmtId="0" fontId="2" fillId="0" borderId="0" xfId="0" applyFont="1" applyAlignment="1">
      <alignment horizontal="center" vertical="center"/>
    </xf>
    <xf numFmtId="0" fontId="13" fillId="0" borderId="1" xfId="0" applyFont="1" applyBorder="1"/>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xf>
    <xf numFmtId="0" fontId="8" fillId="0" borderId="0" xfId="0" applyFont="1" applyAlignment="1">
      <alignment horizontal="center" vertical="top"/>
    </xf>
    <xf numFmtId="0" fontId="1" fillId="0" borderId="1" xfId="0" applyFont="1" applyBorder="1"/>
    <xf numFmtId="0" fontId="2" fillId="0" borderId="1" xfId="0" applyFont="1" applyBorder="1"/>
    <xf numFmtId="0" fontId="2" fillId="0" borderId="1" xfId="0" applyFont="1" applyBorder="1" applyAlignment="1">
      <alignment horizontal="right"/>
    </xf>
    <xf numFmtId="0" fontId="7" fillId="0" borderId="1" xfId="0" applyFont="1" applyBorder="1" applyAlignment="1">
      <alignment horizontal="center"/>
    </xf>
    <xf numFmtId="0" fontId="2" fillId="0" borderId="1" xfId="0" applyFont="1" applyBorder="1" applyAlignment="1">
      <alignment horizontal="center"/>
    </xf>
    <xf numFmtId="0" fontId="9" fillId="0" borderId="1" xfId="0" applyFont="1" applyBorder="1" applyAlignment="1">
      <alignment horizontal="center"/>
    </xf>
    <xf numFmtId="2" fontId="7" fillId="0" borderId="1" xfId="0" applyNumberFormat="1" applyFont="1" applyBorder="1" applyAlignment="1">
      <alignment horizontal="center"/>
    </xf>
    <xf numFmtId="11" fontId="7" fillId="0" borderId="1" xfId="0" applyNumberFormat="1" applyFont="1" applyBorder="1" applyAlignment="1">
      <alignment horizontal="center"/>
    </xf>
    <xf numFmtId="0" fontId="14" fillId="0" borderId="0" xfId="0" applyFont="1"/>
    <xf numFmtId="0" fontId="12" fillId="0" borderId="1" xfId="0" applyFont="1" applyBorder="1" applyAlignment="1">
      <alignment horizontal="center" vertical="center"/>
    </xf>
    <xf numFmtId="11" fontId="1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14" fillId="0" borderId="0" xfId="0" applyNumberFormat="1" applyFont="1"/>
    <xf numFmtId="164" fontId="0" fillId="0" borderId="0" xfId="0" applyNumberFormat="1"/>
    <xf numFmtId="0" fontId="0" fillId="0" borderId="0" xfId="0" applyAlignment="1">
      <alignment horizontal="center"/>
    </xf>
    <xf numFmtId="0" fontId="10" fillId="0" borderId="4" xfId="0" applyFont="1" applyBorder="1"/>
    <xf numFmtId="11" fontId="12" fillId="0" borderId="4" xfId="0" applyNumberFormat="1" applyFont="1" applyBorder="1" applyAlignment="1">
      <alignment horizontal="center" vertical="center"/>
    </xf>
    <xf numFmtId="0" fontId="2" fillId="0" borderId="2" xfId="0" applyFont="1" applyBorder="1" applyAlignment="1">
      <alignment horizontal="center"/>
    </xf>
    <xf numFmtId="0" fontId="11" fillId="0" borderId="5" xfId="0" applyFont="1" applyBorder="1"/>
    <xf numFmtId="0" fontId="0" fillId="0" borderId="5" xfId="0" applyBorder="1"/>
    <xf numFmtId="0" fontId="10" fillId="0" borderId="5" xfId="0" applyFont="1" applyBorder="1"/>
    <xf numFmtId="0" fontId="11" fillId="0" borderId="5" xfId="1" applyNumberFormat="1" applyFont="1" applyBorder="1"/>
    <xf numFmtId="165" fontId="15" fillId="0" borderId="5" xfId="0" applyNumberFormat="1" applyFont="1" applyBorder="1"/>
    <xf numFmtId="11"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2241</xdr:colOff>
      <xdr:row>0</xdr:row>
      <xdr:rowOff>0</xdr:rowOff>
    </xdr:from>
    <xdr:to>
      <xdr:col>19</xdr:col>
      <xdr:colOff>443653</xdr:colOff>
      <xdr:row>26</xdr:row>
      <xdr:rowOff>107545</xdr:rowOff>
    </xdr:to>
    <xdr:pic>
      <xdr:nvPicPr>
        <xdr:cNvPr id="2" name="Picture 1">
          <a:extLst>
            <a:ext uri="{FF2B5EF4-FFF2-40B4-BE49-F238E27FC236}">
              <a16:creationId xmlns:a16="http://schemas.microsoft.com/office/drawing/2014/main" id="{0F731EA8-129C-3143-946B-EB73BDDB9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22081" y="0"/>
          <a:ext cx="5379172" cy="5146905"/>
        </a:xfrm>
        <a:prstGeom prst="rect">
          <a:avLst/>
        </a:prstGeom>
      </xdr:spPr>
    </xdr:pic>
    <xdr:clientData/>
  </xdr:twoCellAnchor>
  <xdr:twoCellAnchor editAs="oneCell">
    <xdr:from>
      <xdr:col>19</xdr:col>
      <xdr:colOff>581054</xdr:colOff>
      <xdr:row>21</xdr:row>
      <xdr:rowOff>84359</xdr:rowOff>
    </xdr:from>
    <xdr:to>
      <xdr:col>26</xdr:col>
      <xdr:colOff>717974</xdr:colOff>
      <xdr:row>25</xdr:row>
      <xdr:rowOff>41890</xdr:rowOff>
    </xdr:to>
    <xdr:pic>
      <xdr:nvPicPr>
        <xdr:cNvPr id="3" name="Picture 2">
          <a:extLst>
            <a:ext uri="{FF2B5EF4-FFF2-40B4-BE49-F238E27FC236}">
              <a16:creationId xmlns:a16="http://schemas.microsoft.com/office/drawing/2014/main" id="{EB9B925D-52E5-6548-94B0-FEBF061B4A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38654" y="4361719"/>
          <a:ext cx="5897640" cy="729691"/>
        </a:xfrm>
        <a:prstGeom prst="rect">
          <a:avLst/>
        </a:prstGeom>
      </xdr:spPr>
    </xdr:pic>
    <xdr:clientData/>
  </xdr:twoCellAnchor>
  <xdr:twoCellAnchor editAs="oneCell">
    <xdr:from>
      <xdr:col>12</xdr:col>
      <xdr:colOff>812800</xdr:colOff>
      <xdr:row>25</xdr:row>
      <xdr:rowOff>186266</xdr:rowOff>
    </xdr:from>
    <xdr:to>
      <xdr:col>19</xdr:col>
      <xdr:colOff>575732</xdr:colOff>
      <xdr:row>55</xdr:row>
      <xdr:rowOff>29577</xdr:rowOff>
    </xdr:to>
    <xdr:pic>
      <xdr:nvPicPr>
        <xdr:cNvPr id="4" name="Picture 3">
          <a:extLst>
            <a:ext uri="{FF2B5EF4-FFF2-40B4-BE49-F238E27FC236}">
              <a16:creationId xmlns:a16="http://schemas.microsoft.com/office/drawing/2014/main" id="{4229B651-041C-4C44-8749-95010BC2B1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17300" y="5469466"/>
          <a:ext cx="5541432" cy="53043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5B5A-4C99-4FFF-A009-4B0244077301}">
  <dimension ref="A1:AA13"/>
  <sheetViews>
    <sheetView zoomScale="125" zoomScaleNormal="160" workbookViewId="0">
      <selection activeCell="D17" sqref="D17"/>
    </sheetView>
    <sheetView workbookViewId="1"/>
  </sheetViews>
  <sheetFormatPr baseColWidth="10" defaultColWidth="8.6640625" defaultRowHeight="15" x14ac:dyDescent="0.2"/>
  <cols>
    <col min="1" max="1" width="11" style="6" bestFit="1" customWidth="1"/>
    <col min="2" max="2" width="8.33203125" style="6" bestFit="1" customWidth="1"/>
    <col min="3" max="3" width="10.33203125" style="6" bestFit="1" customWidth="1"/>
    <col min="4" max="4" width="8" style="6" bestFit="1" customWidth="1"/>
    <col min="5" max="5" width="9" style="6" bestFit="1" customWidth="1"/>
    <col min="6" max="6" width="8.33203125" style="6" bestFit="1" customWidth="1"/>
    <col min="7" max="8" width="11" style="6" bestFit="1" customWidth="1"/>
    <col min="9" max="9" width="8.33203125" style="6" bestFit="1" customWidth="1"/>
    <col min="10" max="10" width="9" style="6" bestFit="1" customWidth="1"/>
    <col min="11" max="11" width="7" style="6" bestFit="1" customWidth="1"/>
    <col min="12" max="12" width="8.33203125" style="6" bestFit="1" customWidth="1"/>
    <col min="13" max="13" width="9.1640625" style="6" bestFit="1" customWidth="1"/>
    <col min="14" max="14" width="8.33203125" style="6" bestFit="1" customWidth="1"/>
    <col min="15" max="15" width="8.1640625" style="6" bestFit="1" customWidth="1"/>
    <col min="16" max="16" width="7" style="6" bestFit="1" customWidth="1"/>
    <col min="17" max="17" width="8.33203125" style="6" bestFit="1" customWidth="1"/>
    <col min="18" max="18" width="8" style="6" bestFit="1" customWidth="1"/>
    <col min="19" max="19" width="9.5" style="6" bestFit="1" customWidth="1"/>
    <col min="20" max="20" width="9.5" style="6" customWidth="1"/>
    <col min="21" max="23" width="7" style="6" bestFit="1" customWidth="1"/>
    <col min="24" max="16384" width="8.6640625" style="6"/>
  </cols>
  <sheetData>
    <row r="1" spans="1:27" x14ac:dyDescent="0.2">
      <c r="A1" s="30"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7" t="s">
        <v>63</v>
      </c>
      <c r="T1" s="7" t="s">
        <v>54</v>
      </c>
      <c r="U1" s="7" t="s">
        <v>55</v>
      </c>
      <c r="V1" s="7" t="s">
        <v>56</v>
      </c>
      <c r="W1" s="7" t="s">
        <v>64</v>
      </c>
      <c r="X1" s="7" t="s">
        <v>65</v>
      </c>
      <c r="Y1" s="7" t="s">
        <v>66</v>
      </c>
      <c r="Z1" s="30" t="s">
        <v>50</v>
      </c>
    </row>
    <row r="2" spans="1:27" x14ac:dyDescent="0.2">
      <c r="A2" s="30" t="s">
        <v>0</v>
      </c>
      <c r="B2" s="30">
        <v>330.05</v>
      </c>
      <c r="C2" s="30">
        <v>464.13</v>
      </c>
      <c r="D2" s="30">
        <v>214.03899999999999</v>
      </c>
      <c r="E2" s="30">
        <v>300.10000000000002</v>
      </c>
      <c r="F2" s="30">
        <v>514.08600000000001</v>
      </c>
      <c r="G2" s="30">
        <v>364.06200000000001</v>
      </c>
      <c r="H2" s="30">
        <v>314.05399999999997</v>
      </c>
      <c r="I2" s="30">
        <v>400.11</v>
      </c>
      <c r="J2" s="30">
        <v>180.03</v>
      </c>
      <c r="K2" s="30">
        <v>464.08</v>
      </c>
      <c r="L2" s="30">
        <v>550.13</v>
      </c>
      <c r="M2" s="30">
        <v>246.03700000000001</v>
      </c>
      <c r="N2" s="30">
        <v>312.04399999999998</v>
      </c>
      <c r="O2" s="30">
        <v>378.05099999999999</v>
      </c>
      <c r="P2" s="30">
        <v>414.07</v>
      </c>
      <c r="Q2" s="30">
        <v>500.13</v>
      </c>
      <c r="R2" s="30">
        <v>264.04700000000003</v>
      </c>
      <c r="S2" s="30">
        <v>230.03800000000001</v>
      </c>
      <c r="T2" s="31">
        <v>327.14</v>
      </c>
      <c r="U2" s="30">
        <v>428.16</v>
      </c>
      <c r="V2" s="30">
        <v>528.16999999999996</v>
      </c>
      <c r="W2" s="30">
        <v>450.12</v>
      </c>
      <c r="X2" s="32">
        <v>250.09</v>
      </c>
      <c r="Y2" s="30">
        <v>350.1</v>
      </c>
      <c r="Z2" s="31">
        <v>230.03800000000001</v>
      </c>
    </row>
    <row r="3" spans="1:27" s="11" customFormat="1" x14ac:dyDescent="0.2">
      <c r="A3" s="33" t="s">
        <v>1</v>
      </c>
      <c r="B3" s="33">
        <f>B2/B4</f>
        <v>188.6</v>
      </c>
      <c r="C3" s="33">
        <f>C2/C4</f>
        <v>252.24456521739128</v>
      </c>
      <c r="D3" s="33">
        <f>D2/D4</f>
        <v>129.72060606060606</v>
      </c>
      <c r="E3" s="33">
        <v>162</v>
      </c>
      <c r="F3" s="33">
        <v>292</v>
      </c>
      <c r="G3" s="33">
        <f>G2/G4</f>
        <v>212.90175438596492</v>
      </c>
      <c r="H3" s="33">
        <v>182</v>
      </c>
      <c r="I3" s="33">
        <v>217</v>
      </c>
      <c r="J3" s="33">
        <f>J2/J4</f>
        <v>111.12962962962962</v>
      </c>
      <c r="K3" s="33">
        <v>265</v>
      </c>
      <c r="L3" s="33">
        <f>L2/L4</f>
        <v>295.76881720430106</v>
      </c>
      <c r="M3" s="33">
        <f>M2/M4</f>
        <v>140.59257142857143</v>
      </c>
      <c r="N3" s="33">
        <f>N2/N4</f>
        <v>174.3262569832402</v>
      </c>
      <c r="O3" s="33">
        <f>O2/O4</f>
        <v>212.388202247191</v>
      </c>
      <c r="P3" s="33">
        <v>237</v>
      </c>
      <c r="Q3" s="33">
        <v>272</v>
      </c>
      <c r="R3" s="33">
        <f t="shared" ref="R3:Y3" si="0">R2/R4</f>
        <v>158.11197604790422</v>
      </c>
      <c r="S3" s="33">
        <f t="shared" si="0"/>
        <v>139.41696969696972</v>
      </c>
      <c r="T3" s="31">
        <v>195</v>
      </c>
      <c r="U3" s="33">
        <f t="shared" si="0"/>
        <v>254.85714285714289</v>
      </c>
      <c r="V3" s="33">
        <f t="shared" si="0"/>
        <v>308.87134502923976</v>
      </c>
      <c r="W3" s="33">
        <f t="shared" si="0"/>
        <v>242</v>
      </c>
      <c r="X3" s="33">
        <f t="shared" si="0"/>
        <v>137.41208791208791</v>
      </c>
      <c r="Y3" s="33">
        <f t="shared" si="0"/>
        <v>191.31147540983608</v>
      </c>
      <c r="Z3" s="31">
        <v>134</v>
      </c>
    </row>
    <row r="4" spans="1:27" x14ac:dyDescent="0.2">
      <c r="A4" s="30" t="s">
        <v>3</v>
      </c>
      <c r="B4" s="30">
        <v>1.75</v>
      </c>
      <c r="C4" s="30">
        <v>1.84</v>
      </c>
      <c r="D4" s="30">
        <v>1.65</v>
      </c>
      <c r="E4" s="30">
        <v>1.83</v>
      </c>
      <c r="F4" s="30">
        <v>1.79</v>
      </c>
      <c r="G4" s="30">
        <v>1.71</v>
      </c>
      <c r="H4" s="30">
        <v>1.69</v>
      </c>
      <c r="I4" s="30">
        <v>1.84</v>
      </c>
      <c r="J4" s="30">
        <v>1.62</v>
      </c>
      <c r="K4" s="30">
        <v>1.78</v>
      </c>
      <c r="L4" s="30">
        <v>1.86</v>
      </c>
      <c r="M4" s="30">
        <v>1.75</v>
      </c>
      <c r="N4" s="30">
        <v>1.79</v>
      </c>
      <c r="O4" s="30">
        <v>1.78</v>
      </c>
      <c r="P4" s="30">
        <v>1.8</v>
      </c>
      <c r="Q4" s="30">
        <v>1.84</v>
      </c>
      <c r="R4" s="30">
        <v>1.67</v>
      </c>
      <c r="S4" s="30">
        <v>1.65</v>
      </c>
      <c r="T4" s="30">
        <v>1.65</v>
      </c>
      <c r="U4" s="30">
        <v>1.68</v>
      </c>
      <c r="V4" s="30">
        <v>1.71</v>
      </c>
      <c r="W4" s="30">
        <v>1.86</v>
      </c>
      <c r="X4" s="30">
        <v>1.82</v>
      </c>
      <c r="Y4" s="30">
        <v>1.83</v>
      </c>
      <c r="Z4" s="30">
        <v>1.5</v>
      </c>
    </row>
    <row r="5" spans="1:27" s="12" customFormat="1" x14ac:dyDescent="0.2">
      <c r="A5" s="34" t="s">
        <v>4</v>
      </c>
      <c r="B5" s="34">
        <v>5.5199999999999999E-2</v>
      </c>
      <c r="C5" s="34"/>
      <c r="D5" s="34"/>
      <c r="E5" s="34">
        <v>2292.7640000000001</v>
      </c>
      <c r="F5" s="34"/>
      <c r="G5" s="34">
        <v>162.37165200000001</v>
      </c>
      <c r="H5" s="34">
        <v>200.05239799999995</v>
      </c>
      <c r="I5" s="34">
        <v>0</v>
      </c>
      <c r="J5" s="34"/>
      <c r="K5" s="34"/>
      <c r="L5" s="34"/>
      <c r="M5" s="34"/>
      <c r="N5" s="34"/>
      <c r="O5" s="34"/>
      <c r="P5" s="34"/>
      <c r="Q5" s="34">
        <v>0</v>
      </c>
      <c r="R5" s="34"/>
      <c r="S5" s="34"/>
      <c r="T5" s="34"/>
      <c r="U5" s="34"/>
      <c r="V5" s="34"/>
      <c r="W5" s="34"/>
      <c r="X5" s="34"/>
      <c r="Y5" s="34"/>
      <c r="Z5" s="34"/>
    </row>
    <row r="6" spans="1:27" x14ac:dyDescent="0.2">
      <c r="A6" s="30" t="s">
        <v>5</v>
      </c>
      <c r="B6" s="30"/>
      <c r="C6" s="30"/>
      <c r="D6" s="30">
        <v>6.37</v>
      </c>
      <c r="E6" s="34">
        <v>0.23799999999999999</v>
      </c>
      <c r="F6" s="34">
        <v>3.1099999999999999E-2</v>
      </c>
      <c r="G6" s="30">
        <v>0.13300000000000001</v>
      </c>
      <c r="H6" s="30">
        <v>1.45</v>
      </c>
      <c r="I6" s="34">
        <v>9.9500000000000005E-3</v>
      </c>
      <c r="J6" s="30">
        <v>8.4600000000000009</v>
      </c>
      <c r="K6" s="30">
        <v>0.17100000000000001</v>
      </c>
      <c r="L6" s="34">
        <v>5.6499999999999996E-3</v>
      </c>
      <c r="M6" s="30"/>
      <c r="N6" s="30"/>
      <c r="O6" s="30"/>
      <c r="P6" s="30">
        <v>0.52500000000000002</v>
      </c>
      <c r="Q6" s="34">
        <v>7.7999999999999996E-3</v>
      </c>
      <c r="R6" s="30">
        <v>3.54</v>
      </c>
      <c r="S6" s="30"/>
      <c r="T6" s="30"/>
      <c r="U6" s="30"/>
      <c r="V6" s="30"/>
      <c r="W6" s="30"/>
      <c r="X6" s="30"/>
      <c r="Y6" s="30"/>
      <c r="Z6" s="30"/>
    </row>
    <row r="7" spans="1:27" x14ac:dyDescent="0.2">
      <c r="A7" s="30" t="s">
        <v>2</v>
      </c>
      <c r="B7" s="30">
        <v>173</v>
      </c>
      <c r="C7" s="30"/>
      <c r="D7" s="30">
        <v>121</v>
      </c>
      <c r="E7" s="30">
        <v>211</v>
      </c>
      <c r="F7" s="30">
        <v>184</v>
      </c>
      <c r="G7" s="30">
        <v>175</v>
      </c>
      <c r="H7" s="30">
        <v>157</v>
      </c>
      <c r="I7" s="30">
        <v>239</v>
      </c>
      <c r="J7" s="30">
        <v>110</v>
      </c>
      <c r="K7" s="30">
        <v>218</v>
      </c>
      <c r="L7" s="30">
        <v>245</v>
      </c>
      <c r="M7" s="30"/>
      <c r="N7" s="30"/>
      <c r="O7" s="30"/>
      <c r="P7" s="30">
        <v>189</v>
      </c>
      <c r="Q7" s="30">
        <v>145</v>
      </c>
      <c r="R7" s="30">
        <v>138</v>
      </c>
      <c r="S7" s="30"/>
      <c r="T7" s="30"/>
      <c r="U7" s="30"/>
      <c r="V7" s="30"/>
      <c r="W7" s="30"/>
      <c r="X7" s="30"/>
      <c r="Y7" s="30"/>
      <c r="Z7" s="30"/>
    </row>
    <row r="13" spans="1:27" x14ac:dyDescent="0.2">
      <c r="Y13" s="20"/>
      <c r="AA1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7697-1B90-46DD-B82E-FCE20BA48421}">
  <dimension ref="A1:AJ19"/>
  <sheetViews>
    <sheetView tabSelected="1" topLeftCell="AG1" zoomScale="122" zoomScaleNormal="122" workbookViewId="0">
      <selection activeCell="AJ10" sqref="AJ10"/>
    </sheetView>
    <sheetView topLeftCell="Q1" workbookViewId="1">
      <selection activeCell="AI16" sqref="AI16"/>
    </sheetView>
  </sheetViews>
  <sheetFormatPr baseColWidth="10" defaultColWidth="8.83203125" defaultRowHeight="15" x14ac:dyDescent="0.2"/>
  <cols>
    <col min="1" max="1" width="8.83203125" customWidth="1"/>
  </cols>
  <sheetData>
    <row r="1" spans="1:36" x14ac:dyDescent="0.2">
      <c r="A1" s="6"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8" t="s">
        <v>63</v>
      </c>
      <c r="T1" s="9" t="s">
        <v>54</v>
      </c>
      <c r="U1" s="9" t="s">
        <v>55</v>
      </c>
      <c r="V1" s="9" t="s">
        <v>56</v>
      </c>
      <c r="W1" s="9" t="s">
        <v>64</v>
      </c>
      <c r="X1" s="9" t="s">
        <v>65</v>
      </c>
      <c r="Y1" s="9" t="s">
        <v>66</v>
      </c>
      <c r="Z1" s="9" t="s">
        <v>50</v>
      </c>
    </row>
    <row r="2" spans="1:36" ht="16" x14ac:dyDescent="0.25">
      <c r="A2" s="1" t="s">
        <v>6</v>
      </c>
      <c r="B2" s="35">
        <v>244.59795399999999</v>
      </c>
      <c r="C2">
        <v>1</v>
      </c>
      <c r="D2">
        <v>44.865836100000003</v>
      </c>
      <c r="E2">
        <v>1</v>
      </c>
      <c r="F2">
        <v>1</v>
      </c>
      <c r="G2" s="35">
        <v>335.95763699999998</v>
      </c>
      <c r="H2" s="35">
        <v>235.65525700000001</v>
      </c>
      <c r="I2">
        <v>1</v>
      </c>
      <c r="J2" s="35">
        <v>45.350354000000003</v>
      </c>
      <c r="K2">
        <v>1</v>
      </c>
      <c r="L2">
        <v>1</v>
      </c>
      <c r="M2">
        <v>1</v>
      </c>
      <c r="N2">
        <v>1</v>
      </c>
      <c r="O2">
        <v>1</v>
      </c>
      <c r="P2">
        <v>1</v>
      </c>
      <c r="Q2">
        <v>1</v>
      </c>
      <c r="R2" s="35">
        <v>140.881473</v>
      </c>
      <c r="S2">
        <v>1</v>
      </c>
      <c r="T2">
        <v>126.387</v>
      </c>
      <c r="U2">
        <v>330.71499999999997</v>
      </c>
      <c r="V2">
        <v>1</v>
      </c>
      <c r="W2">
        <v>1</v>
      </c>
      <c r="X2">
        <v>1</v>
      </c>
      <c r="Y2">
        <v>1</v>
      </c>
      <c r="Z2">
        <v>86.108869999999996</v>
      </c>
    </row>
    <row r="3" spans="1:36" x14ac:dyDescent="0.2">
      <c r="A3" s="1" t="s">
        <v>7</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row>
    <row r="4" spans="1:36" x14ac:dyDescent="0.2">
      <c r="A4" s="1" t="s">
        <v>8</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row>
    <row r="5" spans="1:36" x14ac:dyDescent="0.2">
      <c r="A5" s="1" t="s">
        <v>9</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row>
    <row r="6" spans="1:36" x14ac:dyDescent="0.2">
      <c r="A6" s="1" t="s">
        <v>10</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row>
    <row r="9" spans="1:36" ht="16" x14ac:dyDescent="0.25">
      <c r="AJ9" s="39" t="s">
        <v>101</v>
      </c>
    </row>
    <row r="10" spans="1:36" x14ac:dyDescent="0.2">
      <c r="AJ10" s="40"/>
    </row>
    <row r="11" spans="1:36" ht="16" x14ac:dyDescent="0.25">
      <c r="AJ11" s="39" t="s">
        <v>102</v>
      </c>
    </row>
    <row r="12" spans="1:36" ht="16" x14ac:dyDescent="0.25">
      <c r="AJ12" s="39" t="s">
        <v>103</v>
      </c>
    </row>
    <row r="13" spans="1:36" ht="16" x14ac:dyDescent="0.25">
      <c r="AJ13" s="39" t="s">
        <v>104</v>
      </c>
    </row>
    <row r="14" spans="1:36" ht="16" x14ac:dyDescent="0.25">
      <c r="AJ14" s="39" t="s">
        <v>105</v>
      </c>
    </row>
    <row r="15" spans="1:36" ht="16" x14ac:dyDescent="0.25">
      <c r="AJ15" s="39" t="s">
        <v>106</v>
      </c>
    </row>
    <row r="16" spans="1:36" ht="16" x14ac:dyDescent="0.25">
      <c r="AJ16" s="39" t="s">
        <v>107</v>
      </c>
    </row>
    <row r="17" spans="36:36" ht="16" x14ac:dyDescent="0.25">
      <c r="AJ17" s="39" t="s">
        <v>108</v>
      </c>
    </row>
    <row r="18" spans="36:36" ht="16" x14ac:dyDescent="0.25">
      <c r="AJ18" s="39" t="s">
        <v>109</v>
      </c>
    </row>
    <row r="19" spans="36:36" ht="16" x14ac:dyDescent="0.25">
      <c r="AJ19" s="39"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F7DD-731C-403E-ACEA-F853111BA809}">
  <dimension ref="A1:C16"/>
  <sheetViews>
    <sheetView zoomScale="150" zoomScaleNormal="150" workbookViewId="0">
      <selection activeCell="B20" sqref="B20"/>
    </sheetView>
    <sheetView workbookViewId="1">
      <selection sqref="A1:XFD1048576"/>
    </sheetView>
  </sheetViews>
  <sheetFormatPr baseColWidth="10" defaultColWidth="8.83203125" defaultRowHeight="15" x14ac:dyDescent="0.2"/>
  <cols>
    <col min="1" max="1" width="15.83203125" bestFit="1" customWidth="1"/>
  </cols>
  <sheetData>
    <row r="1" spans="1:3" x14ac:dyDescent="0.2">
      <c r="A1" s="27" t="s">
        <v>11</v>
      </c>
      <c r="B1" s="27" t="s">
        <v>12</v>
      </c>
      <c r="C1" s="27" t="s">
        <v>13</v>
      </c>
    </row>
    <row r="2" spans="1:3" x14ac:dyDescent="0.2">
      <c r="A2" s="28" t="s">
        <v>14</v>
      </c>
      <c r="B2" s="29" t="s">
        <v>67</v>
      </c>
      <c r="C2" s="13"/>
    </row>
    <row r="3" spans="1:3" x14ac:dyDescent="0.2">
      <c r="A3" s="28" t="s">
        <v>15</v>
      </c>
      <c r="B3" s="50">
        <f>0.007/2</f>
        <v>3.5000000000000001E-3</v>
      </c>
      <c r="C3" s="13" t="s">
        <v>16</v>
      </c>
    </row>
    <row r="4" spans="1:3" ht="16" x14ac:dyDescent="0.2">
      <c r="A4" s="28" t="s">
        <v>17</v>
      </c>
      <c r="B4" s="14">
        <v>0.38100000000000001</v>
      </c>
      <c r="C4" s="13"/>
    </row>
    <row r="5" spans="1:3" x14ac:dyDescent="0.2">
      <c r="A5" s="28" t="s">
        <v>18</v>
      </c>
      <c r="B5" s="28">
        <v>1</v>
      </c>
      <c r="C5" s="13"/>
    </row>
    <row r="6" spans="1:3" x14ac:dyDescent="0.2">
      <c r="A6" s="28" t="s">
        <v>19</v>
      </c>
      <c r="B6" s="28">
        <v>1.05</v>
      </c>
      <c r="C6" s="13" t="s">
        <v>20</v>
      </c>
    </row>
    <row r="7" spans="1:3" x14ac:dyDescent="0.2">
      <c r="A7" s="28" t="s">
        <v>30</v>
      </c>
      <c r="B7" s="17">
        <v>0.64995000000000003</v>
      </c>
      <c r="C7" s="13" t="s">
        <v>20</v>
      </c>
    </row>
    <row r="8" spans="1:3" x14ac:dyDescent="0.2">
      <c r="A8" s="28" t="s">
        <v>21</v>
      </c>
      <c r="B8" s="28">
        <v>1.5</v>
      </c>
      <c r="C8" s="13" t="s">
        <v>16</v>
      </c>
    </row>
    <row r="9" spans="1:3" x14ac:dyDescent="0.2">
      <c r="A9" s="28" t="s">
        <v>22</v>
      </c>
      <c r="B9" s="13">
        <f>45.7/1000</f>
        <v>4.5700000000000005E-2</v>
      </c>
      <c r="C9" s="13" t="s">
        <v>68</v>
      </c>
    </row>
    <row r="10" spans="1:3" x14ac:dyDescent="0.2">
      <c r="A10" s="28" t="s">
        <v>23</v>
      </c>
      <c r="B10" s="13">
        <f>0.09633334*60</f>
        <v>5.7800004000000005</v>
      </c>
      <c r="C10" s="13" t="s">
        <v>69</v>
      </c>
    </row>
    <row r="11" spans="1:3" x14ac:dyDescent="0.2">
      <c r="A11" s="28" t="s">
        <v>24</v>
      </c>
      <c r="B11" s="28">
        <v>0.318</v>
      </c>
      <c r="C11" s="13" t="s">
        <v>16</v>
      </c>
    </row>
    <row r="12" spans="1:3" x14ac:dyDescent="0.2">
      <c r="A12" s="28" t="s">
        <v>25</v>
      </c>
      <c r="B12" s="28">
        <v>1</v>
      </c>
      <c r="C12" s="13"/>
    </row>
    <row r="13" spans="1:3" x14ac:dyDescent="0.2">
      <c r="A13" s="28" t="s">
        <v>26</v>
      </c>
      <c r="B13" s="28" t="s">
        <v>27</v>
      </c>
      <c r="C13" s="13"/>
    </row>
    <row r="14" spans="1:3" x14ac:dyDescent="0.2">
      <c r="A14" s="28" t="s">
        <v>28</v>
      </c>
      <c r="B14" s="28" t="s">
        <v>29</v>
      </c>
      <c r="C14" s="13"/>
    </row>
    <row r="15" spans="1:3" x14ac:dyDescent="0.2">
      <c r="A15" s="28" t="s">
        <v>13</v>
      </c>
      <c r="B15" s="13" t="s">
        <v>111</v>
      </c>
      <c r="C15" s="13"/>
    </row>
    <row r="16" spans="1:3" x14ac:dyDescent="0.2">
      <c r="A16" s="28" t="s">
        <v>31</v>
      </c>
      <c r="B16" s="28" t="s">
        <v>70</v>
      </c>
      <c r="C1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FB4-DB77-4CE9-BB3A-E676947AF423}">
  <dimension ref="A1:D833"/>
  <sheetViews>
    <sheetView topLeftCell="A206" zoomScale="173" workbookViewId="0">
      <selection activeCell="B29" sqref="B29"/>
    </sheetView>
    <sheetView workbookViewId="1">
      <selection activeCell="D684" sqref="D684:D733"/>
    </sheetView>
  </sheetViews>
  <sheetFormatPr baseColWidth="10" defaultColWidth="8.83203125" defaultRowHeight="15" x14ac:dyDescent="0.2"/>
  <cols>
    <col min="1" max="1" width="7.1640625" bestFit="1" customWidth="1"/>
    <col min="2" max="2" width="9.6640625" bestFit="1" customWidth="1"/>
    <col min="3" max="3" width="12" bestFit="1" customWidth="1"/>
    <col min="4" max="4" width="9.5" bestFit="1" customWidth="1"/>
  </cols>
  <sheetData>
    <row r="1" spans="1:4" x14ac:dyDescent="0.2">
      <c r="A1" s="13" t="s">
        <v>32</v>
      </c>
      <c r="B1" s="13" t="s">
        <v>31</v>
      </c>
      <c r="C1" s="13" t="s">
        <v>33</v>
      </c>
      <c r="D1" s="13" t="s">
        <v>34</v>
      </c>
    </row>
    <row r="2" spans="1:4" x14ac:dyDescent="0.2">
      <c r="A2" s="13" t="s">
        <v>27</v>
      </c>
      <c r="B2" s="15">
        <v>0</v>
      </c>
      <c r="C2" s="45">
        <v>3.6240000000000003E-4</v>
      </c>
      <c r="D2" s="17" t="s">
        <v>43</v>
      </c>
    </row>
    <row r="3" spans="1:4" x14ac:dyDescent="0.2">
      <c r="A3" s="13" t="s">
        <v>27</v>
      </c>
      <c r="B3" s="16">
        <v>41.666666666666664</v>
      </c>
      <c r="C3" s="45">
        <v>3.6240000000000003E-4</v>
      </c>
      <c r="D3" s="17" t="s">
        <v>43</v>
      </c>
    </row>
    <row r="4" spans="1:4" x14ac:dyDescent="0.2">
      <c r="A4" s="13" t="s">
        <v>27</v>
      </c>
      <c r="B4" s="15">
        <v>0</v>
      </c>
      <c r="C4" s="45">
        <v>3.4979999999999999E-4</v>
      </c>
      <c r="D4" s="46" t="s">
        <v>46</v>
      </c>
    </row>
    <row r="5" spans="1:4" x14ac:dyDescent="0.2">
      <c r="A5" s="13" t="s">
        <v>27</v>
      </c>
      <c r="B5" s="16">
        <v>41.666666666666664</v>
      </c>
      <c r="C5" s="45">
        <v>3.4979999999999999E-4</v>
      </c>
      <c r="D5" s="46" t="s">
        <v>46</v>
      </c>
    </row>
    <row r="6" spans="1:4" x14ac:dyDescent="0.2">
      <c r="A6" s="13" t="s">
        <v>27</v>
      </c>
      <c r="B6" s="15">
        <v>0</v>
      </c>
      <c r="C6" s="45">
        <v>3.6086000000000001E-4</v>
      </c>
      <c r="D6" s="46" t="s">
        <v>44</v>
      </c>
    </row>
    <row r="7" spans="1:4" x14ac:dyDescent="0.2">
      <c r="A7" s="13" t="s">
        <v>27</v>
      </c>
      <c r="B7" s="16">
        <v>41.666666666666664</v>
      </c>
      <c r="C7" s="45">
        <v>3.6086000000000001E-4</v>
      </c>
      <c r="D7" s="46" t="s">
        <v>44</v>
      </c>
    </row>
    <row r="8" spans="1:4" x14ac:dyDescent="0.2">
      <c r="A8" s="13" t="s">
        <v>27</v>
      </c>
      <c r="B8" s="15">
        <v>0</v>
      </c>
      <c r="C8" s="45">
        <v>3.2508E-4</v>
      </c>
      <c r="D8" s="46" t="s">
        <v>45</v>
      </c>
    </row>
    <row r="9" spans="1:4" x14ac:dyDescent="0.2">
      <c r="A9" s="13" t="s">
        <v>27</v>
      </c>
      <c r="B9" s="16">
        <v>41.666666666666664</v>
      </c>
      <c r="C9" s="45">
        <v>3.2508E-4</v>
      </c>
      <c r="D9" s="46" t="s">
        <v>45</v>
      </c>
    </row>
    <row r="10" spans="1:4" x14ac:dyDescent="0.2">
      <c r="A10" s="13" t="s">
        <v>27</v>
      </c>
      <c r="B10" s="15">
        <v>0</v>
      </c>
      <c r="C10" s="45">
        <v>2.9067999999999997E-4</v>
      </c>
      <c r="D10" s="46" t="s">
        <v>52</v>
      </c>
    </row>
    <row r="11" spans="1:4" x14ac:dyDescent="0.2">
      <c r="A11" s="13" t="s">
        <v>27</v>
      </c>
      <c r="B11" s="16">
        <v>41.666666666666664</v>
      </c>
      <c r="C11" s="45">
        <v>2.9067999999999997E-4</v>
      </c>
      <c r="D11" s="46" t="s">
        <v>52</v>
      </c>
    </row>
    <row r="12" spans="1:4" x14ac:dyDescent="0.2">
      <c r="A12" s="13" t="s">
        <v>27</v>
      </c>
      <c r="B12" s="15">
        <v>0</v>
      </c>
      <c r="C12" s="45">
        <v>2.0807000000000001E-4</v>
      </c>
      <c r="D12" s="46" t="s">
        <v>53</v>
      </c>
    </row>
    <row r="13" spans="1:4" x14ac:dyDescent="0.2">
      <c r="A13" s="13" t="s">
        <v>27</v>
      </c>
      <c r="B13" s="16">
        <v>41.666666666666664</v>
      </c>
      <c r="C13" s="45">
        <v>2.0807000000000001E-4</v>
      </c>
      <c r="D13" s="46" t="s">
        <v>53</v>
      </c>
    </row>
    <row r="14" spans="1:4" x14ac:dyDescent="0.2">
      <c r="A14" s="13" t="s">
        <v>27</v>
      </c>
      <c r="B14" s="15">
        <v>0</v>
      </c>
      <c r="C14" s="45">
        <v>3.0930999999999998E-4</v>
      </c>
      <c r="D14" s="46" t="s">
        <v>57</v>
      </c>
    </row>
    <row r="15" spans="1:4" x14ac:dyDescent="0.2">
      <c r="A15" s="13" t="s">
        <v>27</v>
      </c>
      <c r="B15" s="16">
        <v>41.666666666666664</v>
      </c>
      <c r="C15" s="45">
        <v>3.0930999999999998E-4</v>
      </c>
      <c r="D15" s="46" t="s">
        <v>57</v>
      </c>
    </row>
    <row r="16" spans="1:4" x14ac:dyDescent="0.2">
      <c r="A16" s="13" t="s">
        <v>27</v>
      </c>
      <c r="B16" s="15">
        <v>0</v>
      </c>
      <c r="C16" s="45">
        <v>4.3085000000000004E-4</v>
      </c>
      <c r="D16" s="46" t="s">
        <v>42</v>
      </c>
    </row>
    <row r="17" spans="1:4" x14ac:dyDescent="0.2">
      <c r="A17" s="13" t="s">
        <v>27</v>
      </c>
      <c r="B17" s="16">
        <v>41.666666666666664</v>
      </c>
      <c r="C17" s="45">
        <v>4.3085000000000004E-4</v>
      </c>
      <c r="D17" s="46" t="s">
        <v>42</v>
      </c>
    </row>
    <row r="18" spans="1:4" x14ac:dyDescent="0.2">
      <c r="A18" s="13" t="s">
        <v>27</v>
      </c>
      <c r="B18" s="15">
        <v>0</v>
      </c>
      <c r="C18" s="45">
        <v>2.4665000000000001E-4</v>
      </c>
      <c r="D18" s="46" t="s">
        <v>51</v>
      </c>
    </row>
    <row r="19" spans="1:4" x14ac:dyDescent="0.2">
      <c r="A19" s="13" t="s">
        <v>27</v>
      </c>
      <c r="B19" s="16">
        <v>41.666666666666664</v>
      </c>
      <c r="C19" s="45">
        <v>2.4665000000000001E-4</v>
      </c>
      <c r="D19" s="46" t="s">
        <v>51</v>
      </c>
    </row>
    <row r="20" spans="1:4" x14ac:dyDescent="0.2">
      <c r="A20" s="13" t="s">
        <v>27</v>
      </c>
      <c r="B20" s="15">
        <v>0</v>
      </c>
      <c r="C20" s="45">
        <v>2.8795999999999997E-4</v>
      </c>
      <c r="D20" s="46" t="s">
        <v>47</v>
      </c>
    </row>
    <row r="21" spans="1:4" x14ac:dyDescent="0.2">
      <c r="A21" s="13" t="s">
        <v>27</v>
      </c>
      <c r="B21" s="16">
        <v>41.666666666666664</v>
      </c>
      <c r="C21" s="45">
        <v>2.8795999999999997E-4</v>
      </c>
      <c r="D21" s="46" t="s">
        <v>47</v>
      </c>
    </row>
    <row r="22" spans="1:4" x14ac:dyDescent="0.2">
      <c r="A22" s="13" t="s">
        <v>27</v>
      </c>
      <c r="B22" s="15">
        <v>0</v>
      </c>
      <c r="C22" s="45">
        <v>1.6062999999999999E-4</v>
      </c>
      <c r="D22" s="46" t="s">
        <v>48</v>
      </c>
    </row>
    <row r="23" spans="1:4" x14ac:dyDescent="0.2">
      <c r="A23" s="13" t="s">
        <v>27</v>
      </c>
      <c r="B23" s="16">
        <v>41.666666666666664</v>
      </c>
      <c r="C23" s="45">
        <v>1.6062999999999999E-4</v>
      </c>
      <c r="D23" s="46" t="s">
        <v>48</v>
      </c>
    </row>
    <row r="24" spans="1:4" x14ac:dyDescent="0.2">
      <c r="A24" s="13" t="s">
        <v>27</v>
      </c>
      <c r="B24" s="15">
        <v>0</v>
      </c>
      <c r="C24" s="45">
        <v>5.1551000000000006E-4</v>
      </c>
      <c r="D24" s="46" t="s">
        <v>49</v>
      </c>
    </row>
    <row r="25" spans="1:4" x14ac:dyDescent="0.2">
      <c r="A25" s="13" t="s">
        <v>27</v>
      </c>
      <c r="B25" s="16">
        <v>41.666666666666664</v>
      </c>
      <c r="C25" s="45">
        <v>5.1551000000000006E-4</v>
      </c>
      <c r="D25" s="46" t="s">
        <v>49</v>
      </c>
    </row>
    <row r="26" spans="1:4" x14ac:dyDescent="0.2">
      <c r="A26" s="13" t="s">
        <v>27</v>
      </c>
      <c r="B26" s="15">
        <v>0</v>
      </c>
      <c r="C26" s="45">
        <v>3.3056999999999997E-4</v>
      </c>
      <c r="D26" s="46" t="s">
        <v>50</v>
      </c>
    </row>
    <row r="27" spans="1:4" x14ac:dyDescent="0.2">
      <c r="A27" s="13" t="s">
        <v>27</v>
      </c>
      <c r="B27" s="16">
        <v>41.666666666666664</v>
      </c>
      <c r="C27" s="45">
        <v>3.3056999999999997E-4</v>
      </c>
      <c r="D27" s="46" t="s">
        <v>50</v>
      </c>
    </row>
    <row r="28" spans="1:4" x14ac:dyDescent="0.2">
      <c r="A28" s="13" t="s">
        <v>27</v>
      </c>
      <c r="B28" s="15">
        <v>0</v>
      </c>
      <c r="C28" s="45">
        <v>2.9189E-4</v>
      </c>
      <c r="D28" s="46" t="s">
        <v>54</v>
      </c>
    </row>
    <row r="29" spans="1:4" x14ac:dyDescent="0.2">
      <c r="A29" s="13" t="s">
        <v>27</v>
      </c>
      <c r="B29" s="16">
        <v>41.666666666666664</v>
      </c>
      <c r="C29" s="45">
        <v>2.9189E-4</v>
      </c>
      <c r="D29" s="46" t="s">
        <v>54</v>
      </c>
    </row>
    <row r="30" spans="1:4" x14ac:dyDescent="0.2">
      <c r="A30" s="13" t="s">
        <v>27</v>
      </c>
      <c r="B30" s="15">
        <v>0</v>
      </c>
      <c r="C30" s="45">
        <v>3.1352999999999996E-4</v>
      </c>
      <c r="D30" s="46" t="s">
        <v>55</v>
      </c>
    </row>
    <row r="31" spans="1:4" x14ac:dyDescent="0.2">
      <c r="A31" s="13" t="s">
        <v>27</v>
      </c>
      <c r="B31" s="16">
        <v>41.666666666666664</v>
      </c>
      <c r="C31" s="45">
        <v>3.1352999999999996E-4</v>
      </c>
      <c r="D31" s="46" t="s">
        <v>55</v>
      </c>
    </row>
    <row r="32" spans="1:4" x14ac:dyDescent="0.2">
      <c r="A32" s="13" t="s">
        <v>27</v>
      </c>
      <c r="B32" s="15">
        <v>0</v>
      </c>
      <c r="C32" s="45">
        <v>1.7185E-4</v>
      </c>
      <c r="D32" s="46" t="s">
        <v>56</v>
      </c>
    </row>
    <row r="33" spans="1:4" x14ac:dyDescent="0.2">
      <c r="A33" s="13" t="s">
        <v>27</v>
      </c>
      <c r="B33" s="16">
        <v>41.666666666666664</v>
      </c>
      <c r="C33" s="45">
        <v>1.7185E-4</v>
      </c>
      <c r="D33" s="46" t="s">
        <v>56</v>
      </c>
    </row>
    <row r="34" spans="1:4" x14ac:dyDescent="0.2">
      <c r="A34" s="13" t="s">
        <v>29</v>
      </c>
      <c r="B34" s="19">
        <v>0</v>
      </c>
      <c r="C34" s="48">
        <v>4.0747786449340423E-6</v>
      </c>
      <c r="D34" s="17" t="s">
        <v>43</v>
      </c>
    </row>
    <row r="35" spans="1:4" x14ac:dyDescent="0.2">
      <c r="A35" s="13" t="s">
        <v>29</v>
      </c>
      <c r="B35" s="19">
        <v>51.528499999999994</v>
      </c>
      <c r="C35" s="48">
        <v>1.4917494302092688E-6</v>
      </c>
      <c r="D35" s="17" t="s">
        <v>43</v>
      </c>
    </row>
    <row r="36" spans="1:4" x14ac:dyDescent="0.2">
      <c r="A36" s="13" t="s">
        <v>29</v>
      </c>
      <c r="B36" s="19">
        <v>103.05699999999999</v>
      </c>
      <c r="C36" s="48">
        <v>8.3097451481455907E-6</v>
      </c>
      <c r="D36" s="17" t="s">
        <v>43</v>
      </c>
    </row>
    <row r="37" spans="1:4" x14ac:dyDescent="0.2">
      <c r="A37" s="13" t="s">
        <v>29</v>
      </c>
      <c r="B37" s="19">
        <v>103.05699999999999</v>
      </c>
      <c r="C37" s="48">
        <v>4.7455653014710962E-6</v>
      </c>
      <c r="D37" s="17" t="s">
        <v>43</v>
      </c>
    </row>
    <row r="38" spans="1:4" x14ac:dyDescent="0.2">
      <c r="A38" s="13" t="s">
        <v>29</v>
      </c>
      <c r="B38" s="19">
        <v>154.5855</v>
      </c>
      <c r="C38" s="48">
        <v>1.4707247738103461E-5</v>
      </c>
      <c r="D38" s="17" t="s">
        <v>43</v>
      </c>
    </row>
    <row r="39" spans="1:4" x14ac:dyDescent="0.2">
      <c r="A39" s="13" t="s">
        <v>29</v>
      </c>
      <c r="B39" s="19">
        <v>154.5855</v>
      </c>
      <c r="C39" s="48">
        <v>1.2234347675944473E-5</v>
      </c>
      <c r="D39" s="17" t="s">
        <v>43</v>
      </c>
    </row>
    <row r="40" spans="1:4" x14ac:dyDescent="0.2">
      <c r="A40" s="13" t="s">
        <v>29</v>
      </c>
      <c r="B40" s="19">
        <v>206.11399999999998</v>
      </c>
      <c r="C40" s="48">
        <v>2.4318519234753782E-5</v>
      </c>
      <c r="D40" s="17" t="s">
        <v>43</v>
      </c>
    </row>
    <row r="41" spans="1:4" x14ac:dyDescent="0.2">
      <c r="A41" s="13" t="s">
        <v>29</v>
      </c>
      <c r="B41" s="19">
        <v>206.11399999999998</v>
      </c>
      <c r="C41" s="48">
        <v>1.8111239726500447E-5</v>
      </c>
      <c r="D41" s="17" t="s">
        <v>43</v>
      </c>
    </row>
    <row r="42" spans="1:4" x14ac:dyDescent="0.2">
      <c r="A42" s="13" t="s">
        <v>29</v>
      </c>
      <c r="B42" s="19">
        <v>309.17099999999999</v>
      </c>
      <c r="C42" s="48">
        <v>4.9137625526624768E-5</v>
      </c>
      <c r="D42" s="17" t="s">
        <v>43</v>
      </c>
    </row>
    <row r="43" spans="1:4" x14ac:dyDescent="0.2">
      <c r="A43" s="13" t="s">
        <v>29</v>
      </c>
      <c r="B43" s="19">
        <v>309.17099999999999</v>
      </c>
      <c r="C43" s="48">
        <v>3.801458111748049E-5</v>
      </c>
      <c r="D43" s="17" t="s">
        <v>43</v>
      </c>
    </row>
    <row r="44" spans="1:4" x14ac:dyDescent="0.2">
      <c r="A44" s="13" t="s">
        <v>29</v>
      </c>
      <c r="B44" s="19">
        <v>412.22799999999995</v>
      </c>
      <c r="C44" s="48">
        <v>8.5760574625319433E-5</v>
      </c>
      <c r="D44" s="17" t="s">
        <v>43</v>
      </c>
    </row>
    <row r="45" spans="1:4" x14ac:dyDescent="0.2">
      <c r="A45" s="13" t="s">
        <v>29</v>
      </c>
      <c r="B45" s="19">
        <v>412.22799999999995</v>
      </c>
      <c r="C45" s="48">
        <v>6.7238853511982874E-5</v>
      </c>
      <c r="D45" s="17" t="s">
        <v>43</v>
      </c>
    </row>
    <row r="46" spans="1:4" x14ac:dyDescent="0.2">
      <c r="A46" s="13" t="s">
        <v>29</v>
      </c>
      <c r="B46" s="19">
        <v>515.28499999999997</v>
      </c>
      <c r="C46" s="48">
        <v>1.2214324193659783E-4</v>
      </c>
      <c r="D46" s="17" t="s">
        <v>43</v>
      </c>
    </row>
    <row r="47" spans="1:4" x14ac:dyDescent="0.2">
      <c r="A47" s="13" t="s">
        <v>29</v>
      </c>
      <c r="B47" s="19">
        <v>515.28499999999997</v>
      </c>
      <c r="C47" s="48">
        <v>1.1002903515436149E-4</v>
      </c>
      <c r="D47" s="17" t="s">
        <v>43</v>
      </c>
    </row>
    <row r="48" spans="1:4" x14ac:dyDescent="0.2">
      <c r="A48" s="13" t="s">
        <v>29</v>
      </c>
      <c r="B48" s="19">
        <v>618.34199999999998</v>
      </c>
      <c r="C48" s="48">
        <v>1.6186983078941917E-4</v>
      </c>
      <c r="D48" s="17" t="s">
        <v>43</v>
      </c>
    </row>
    <row r="49" spans="1:4" x14ac:dyDescent="0.2">
      <c r="A49" s="13" t="s">
        <v>29</v>
      </c>
      <c r="B49" s="19">
        <v>618.34199999999998</v>
      </c>
      <c r="C49" s="48">
        <v>1.5524205815318739E-4</v>
      </c>
      <c r="D49" s="17" t="s">
        <v>43</v>
      </c>
    </row>
    <row r="50" spans="1:4" x14ac:dyDescent="0.2">
      <c r="A50" s="13" t="s">
        <v>29</v>
      </c>
      <c r="B50" s="19">
        <v>721.39899999999989</v>
      </c>
      <c r="C50" s="48">
        <v>2.1155810207887284E-4</v>
      </c>
      <c r="D50" s="17" t="s">
        <v>43</v>
      </c>
    </row>
    <row r="51" spans="1:4" x14ac:dyDescent="0.2">
      <c r="A51" s="13" t="s">
        <v>29</v>
      </c>
      <c r="B51" s="19">
        <v>721.39899999999989</v>
      </c>
      <c r="C51" s="48">
        <v>2.2287136956972167E-4</v>
      </c>
      <c r="D51" s="17" t="s">
        <v>43</v>
      </c>
    </row>
    <row r="52" spans="1:4" x14ac:dyDescent="0.2">
      <c r="A52" s="13" t="s">
        <v>29</v>
      </c>
      <c r="B52" s="19">
        <v>824.4559999999999</v>
      </c>
      <c r="C52" s="48">
        <v>2.5552966917604807E-4</v>
      </c>
      <c r="D52" s="17" t="s">
        <v>43</v>
      </c>
    </row>
    <row r="53" spans="1:4" x14ac:dyDescent="0.2">
      <c r="A53" s="13" t="s">
        <v>29</v>
      </c>
      <c r="B53" s="19">
        <v>824.4559999999999</v>
      </c>
      <c r="C53" s="48">
        <v>2.399814351819877E-4</v>
      </c>
      <c r="D53" s="17" t="s">
        <v>43</v>
      </c>
    </row>
    <row r="54" spans="1:4" x14ac:dyDescent="0.2">
      <c r="A54" s="13" t="s">
        <v>29</v>
      </c>
      <c r="B54" s="19">
        <v>927.51300000000003</v>
      </c>
      <c r="C54" s="48">
        <v>7.8962602389667791E-5</v>
      </c>
      <c r="D54" s="17" t="s">
        <v>43</v>
      </c>
    </row>
    <row r="55" spans="1:4" x14ac:dyDescent="0.2">
      <c r="A55" s="13" t="s">
        <v>29</v>
      </c>
      <c r="B55" s="19">
        <v>927.51300000000003</v>
      </c>
      <c r="C55" s="48">
        <v>3.1082451550521449E-4</v>
      </c>
      <c r="D55" s="17" t="s">
        <v>43</v>
      </c>
    </row>
    <row r="56" spans="1:4" x14ac:dyDescent="0.2">
      <c r="A56" s="13" t="s">
        <v>29</v>
      </c>
      <c r="B56" s="19">
        <v>1030.57</v>
      </c>
      <c r="C56" s="48">
        <v>3.3749579390841909E-4</v>
      </c>
      <c r="D56" s="17" t="s">
        <v>43</v>
      </c>
    </row>
    <row r="57" spans="1:4" x14ac:dyDescent="0.2">
      <c r="A57" s="13" t="s">
        <v>29</v>
      </c>
      <c r="B57" s="19">
        <v>1030.57</v>
      </c>
      <c r="C57" s="48">
        <v>3.4570542164514124E-4</v>
      </c>
      <c r="D57" s="17" t="s">
        <v>43</v>
      </c>
    </row>
    <row r="58" spans="1:4" x14ac:dyDescent="0.2">
      <c r="A58" s="13" t="s">
        <v>29</v>
      </c>
      <c r="B58" s="19">
        <v>1236.684</v>
      </c>
      <c r="C58" s="48">
        <v>4.053053166655156E-4</v>
      </c>
      <c r="D58" s="17" t="s">
        <v>43</v>
      </c>
    </row>
    <row r="59" spans="1:4" x14ac:dyDescent="0.2">
      <c r="A59" s="13" t="s">
        <v>29</v>
      </c>
      <c r="B59" s="19">
        <v>1236.684</v>
      </c>
      <c r="C59" s="48">
        <v>4.219748656675185E-4</v>
      </c>
      <c r="D59" s="17" t="s">
        <v>43</v>
      </c>
    </row>
    <row r="60" spans="1:4" x14ac:dyDescent="0.2">
      <c r="A60" s="13" t="s">
        <v>29</v>
      </c>
      <c r="B60" s="19">
        <v>1442.7979999999998</v>
      </c>
      <c r="C60" s="48">
        <v>4.7334510946888596E-4</v>
      </c>
      <c r="D60" s="17" t="s">
        <v>43</v>
      </c>
    </row>
    <row r="61" spans="1:4" x14ac:dyDescent="0.2">
      <c r="A61" s="13" t="s">
        <v>29</v>
      </c>
      <c r="B61" s="19">
        <v>1442.7979999999998</v>
      </c>
      <c r="C61" s="48">
        <v>4.7201354789695423E-4</v>
      </c>
      <c r="D61" s="17" t="s">
        <v>43</v>
      </c>
    </row>
    <row r="62" spans="1:4" x14ac:dyDescent="0.2">
      <c r="A62" s="13" t="s">
        <v>29</v>
      </c>
      <c r="B62" s="19">
        <v>1648.9119999999998</v>
      </c>
      <c r="C62" s="48">
        <v>4.8150467849989635E-4</v>
      </c>
      <c r="D62" s="17" t="s">
        <v>43</v>
      </c>
    </row>
    <row r="63" spans="1:4" x14ac:dyDescent="0.2">
      <c r="A63" s="13" t="s">
        <v>29</v>
      </c>
      <c r="B63" s="19">
        <v>1648.9119999999998</v>
      </c>
      <c r="C63" s="48">
        <v>6.0968500034532783E-4</v>
      </c>
      <c r="D63" s="17" t="s">
        <v>43</v>
      </c>
    </row>
    <row r="64" spans="1:4" x14ac:dyDescent="0.2">
      <c r="A64" s="13" t="s">
        <v>29</v>
      </c>
      <c r="B64" s="19">
        <v>1855.0260000000001</v>
      </c>
      <c r="C64" s="48">
        <v>5.1214060639546933E-4</v>
      </c>
      <c r="D64" s="17" t="s">
        <v>43</v>
      </c>
    </row>
    <row r="65" spans="1:4" x14ac:dyDescent="0.2">
      <c r="A65" s="13" t="s">
        <v>29</v>
      </c>
      <c r="B65" s="19">
        <v>1855.0260000000001</v>
      </c>
      <c r="C65" s="48">
        <v>4.9731321776365768E-4</v>
      </c>
      <c r="D65" s="17" t="s">
        <v>43</v>
      </c>
    </row>
    <row r="66" spans="1:4" x14ac:dyDescent="0.2">
      <c r="A66" s="13" t="s">
        <v>29</v>
      </c>
      <c r="B66" s="19">
        <v>2061.14</v>
      </c>
      <c r="C66" s="48">
        <v>5.052725519718213E-4</v>
      </c>
      <c r="D66" s="17" t="s">
        <v>43</v>
      </c>
    </row>
    <row r="67" spans="1:4" x14ac:dyDescent="0.2">
      <c r="A67" s="13" t="s">
        <v>29</v>
      </c>
      <c r="B67" s="19">
        <v>2061.14</v>
      </c>
      <c r="C67" s="48">
        <v>4.7377561433800675E-4</v>
      </c>
      <c r="D67" s="17" t="s">
        <v>43</v>
      </c>
    </row>
    <row r="68" spans="1:4" x14ac:dyDescent="0.2">
      <c r="A68" s="13" t="s">
        <v>29</v>
      </c>
      <c r="B68" s="19">
        <v>2267.2539999999999</v>
      </c>
      <c r="C68" s="48">
        <v>5.099179998618689E-4</v>
      </c>
      <c r="D68" s="17" t="s">
        <v>43</v>
      </c>
    </row>
    <row r="69" spans="1:4" x14ac:dyDescent="0.2">
      <c r="A69" s="13" t="s">
        <v>29</v>
      </c>
      <c r="B69" s="19">
        <v>2267.2539999999999</v>
      </c>
      <c r="C69" s="48">
        <v>4.4957723599696106E-4</v>
      </c>
      <c r="D69" s="17" t="s">
        <v>43</v>
      </c>
    </row>
    <row r="70" spans="1:4" x14ac:dyDescent="0.2">
      <c r="A70" s="13" t="s">
        <v>29</v>
      </c>
      <c r="B70" s="19">
        <v>2679.4819999999995</v>
      </c>
      <c r="C70" s="48">
        <v>4.3144597278817594E-4</v>
      </c>
      <c r="D70" s="17" t="s">
        <v>43</v>
      </c>
    </row>
    <row r="71" spans="1:4" x14ac:dyDescent="0.2">
      <c r="A71" s="13" t="s">
        <v>29</v>
      </c>
      <c r="B71" s="19">
        <v>2679.4819999999995</v>
      </c>
      <c r="C71" s="48">
        <v>4.4506194074176391E-4</v>
      </c>
      <c r="D71" s="17" t="s">
        <v>43</v>
      </c>
    </row>
    <row r="72" spans="1:4" x14ac:dyDescent="0.2">
      <c r="A72" s="13" t="s">
        <v>29</v>
      </c>
      <c r="B72" s="19">
        <v>3091.7099999999996</v>
      </c>
      <c r="C72" s="48">
        <v>4.0685713654257894E-4</v>
      </c>
      <c r="D72" s="17" t="s">
        <v>43</v>
      </c>
    </row>
    <row r="73" spans="1:4" x14ac:dyDescent="0.2">
      <c r="A73" s="13" t="s">
        <v>29</v>
      </c>
      <c r="B73" s="19">
        <v>3091.7099999999996</v>
      </c>
      <c r="C73" s="48">
        <v>4.0406386076386499E-4</v>
      </c>
      <c r="D73" s="17" t="s">
        <v>43</v>
      </c>
    </row>
    <row r="74" spans="1:4" x14ac:dyDescent="0.2">
      <c r="A74" s="13" t="s">
        <v>29</v>
      </c>
      <c r="B74" s="19">
        <v>3503.9379999999996</v>
      </c>
      <c r="C74" s="48">
        <v>4.359112093376615E-4</v>
      </c>
      <c r="D74" s="17" t="s">
        <v>43</v>
      </c>
    </row>
    <row r="75" spans="1:4" x14ac:dyDescent="0.2">
      <c r="A75" s="13" t="s">
        <v>29</v>
      </c>
      <c r="B75" s="19">
        <v>3503.9379999999996</v>
      </c>
      <c r="C75" s="48">
        <v>4.1196312452517435E-4</v>
      </c>
      <c r="D75" s="17" t="s">
        <v>43</v>
      </c>
    </row>
    <row r="76" spans="1:4" x14ac:dyDescent="0.2">
      <c r="A76" s="13" t="s">
        <v>29</v>
      </c>
      <c r="B76" s="19">
        <v>3916.1659999999997</v>
      </c>
      <c r="C76" s="48">
        <v>4.0630649077975001E-4</v>
      </c>
      <c r="D76" s="17" t="s">
        <v>43</v>
      </c>
    </row>
    <row r="77" spans="1:4" x14ac:dyDescent="0.2">
      <c r="A77" s="13" t="s">
        <v>29</v>
      </c>
      <c r="B77" s="19">
        <v>3916.1659999999997</v>
      </c>
      <c r="C77" s="48">
        <v>3.9249028800331516E-4</v>
      </c>
      <c r="D77" s="17" t="s">
        <v>43</v>
      </c>
    </row>
    <row r="78" spans="1:4" x14ac:dyDescent="0.2">
      <c r="A78" s="13" t="s">
        <v>29</v>
      </c>
      <c r="B78" s="19">
        <v>4328.3939999999993</v>
      </c>
      <c r="C78" s="48">
        <v>3.7270708750604327E-4</v>
      </c>
      <c r="D78" s="17" t="s">
        <v>43</v>
      </c>
    </row>
    <row r="79" spans="1:4" x14ac:dyDescent="0.2">
      <c r="A79" s="13" t="s">
        <v>29</v>
      </c>
      <c r="B79" s="19">
        <v>4328.3939999999993</v>
      </c>
      <c r="C79" s="48">
        <v>3.8835543891152708E-4</v>
      </c>
      <c r="D79" s="17" t="s">
        <v>43</v>
      </c>
    </row>
    <row r="80" spans="1:4" x14ac:dyDescent="0.2">
      <c r="A80" s="13" t="s">
        <v>29</v>
      </c>
      <c r="B80" s="19">
        <v>4740.6219999999994</v>
      </c>
      <c r="C80" s="48">
        <v>3.667200663029215E-4</v>
      </c>
      <c r="D80" s="17" t="s">
        <v>43</v>
      </c>
    </row>
    <row r="81" spans="1:4" x14ac:dyDescent="0.2">
      <c r="A81" s="13" t="s">
        <v>29</v>
      </c>
      <c r="B81" s="19">
        <v>4740.6219999999994</v>
      </c>
      <c r="C81" s="48">
        <v>3.7009402306789141E-4</v>
      </c>
      <c r="D81" s="17" t="s">
        <v>43</v>
      </c>
    </row>
    <row r="82" spans="1:4" x14ac:dyDescent="0.2">
      <c r="A82" s="13" t="s">
        <v>29</v>
      </c>
      <c r="B82" s="19">
        <v>5152.8500000000004</v>
      </c>
      <c r="C82" s="48">
        <v>3.8370999102147938E-4</v>
      </c>
      <c r="D82" s="17" t="s">
        <v>43</v>
      </c>
    </row>
    <row r="83" spans="1:4" ht="16" x14ac:dyDescent="0.2">
      <c r="A83" s="13" t="s">
        <v>29</v>
      </c>
      <c r="B83" s="19">
        <v>5152.8500000000004</v>
      </c>
      <c r="C83" s="49">
        <v>3.8441081290144355E-4</v>
      </c>
      <c r="D83" s="17" t="s">
        <v>43</v>
      </c>
    </row>
    <row r="84" spans="1:4" ht="16" x14ac:dyDescent="0.2">
      <c r="A84" s="13" t="s">
        <v>29</v>
      </c>
      <c r="B84" s="19">
        <v>0</v>
      </c>
      <c r="C84" s="48">
        <v>9.0408428677257383E-6</v>
      </c>
      <c r="D84" s="47" t="s">
        <v>46</v>
      </c>
    </row>
    <row r="85" spans="1:4" ht="16" x14ac:dyDescent="0.2">
      <c r="A85" s="13" t="s">
        <v>29</v>
      </c>
      <c r="B85" s="19">
        <v>51.528499999999994</v>
      </c>
      <c r="C85" s="48">
        <v>8.9832578813071054E-6</v>
      </c>
      <c r="D85" s="47" t="s">
        <v>46</v>
      </c>
    </row>
    <row r="86" spans="1:4" ht="16" x14ac:dyDescent="0.2">
      <c r="A86" s="13" t="s">
        <v>29</v>
      </c>
      <c r="B86" s="19">
        <v>103.05699999999999</v>
      </c>
      <c r="C86" s="48">
        <v>1.2361577084533711E-5</v>
      </c>
      <c r="D86" s="47" t="s">
        <v>46</v>
      </c>
    </row>
    <row r="87" spans="1:4" ht="16" x14ac:dyDescent="0.2">
      <c r="A87" s="13" t="s">
        <v>29</v>
      </c>
      <c r="B87" s="19">
        <v>103.05699999999999</v>
      </c>
      <c r="C87" s="48">
        <v>1.3609251790270806E-5</v>
      </c>
      <c r="D87" s="47" t="s">
        <v>46</v>
      </c>
    </row>
    <row r="88" spans="1:4" ht="16" x14ac:dyDescent="0.2">
      <c r="A88" s="13" t="s">
        <v>29</v>
      </c>
      <c r="B88" s="19">
        <v>154.5855</v>
      </c>
      <c r="C88" s="48">
        <v>1.1363437319944029E-5</v>
      </c>
      <c r="D88" s="47" t="s">
        <v>46</v>
      </c>
    </row>
    <row r="89" spans="1:4" ht="16" x14ac:dyDescent="0.2">
      <c r="A89" s="13" t="s">
        <v>29</v>
      </c>
      <c r="B89" s="19">
        <v>154.5855</v>
      </c>
      <c r="C89" s="48">
        <v>1.5336801382829864E-5</v>
      </c>
      <c r="D89" s="47" t="s">
        <v>46</v>
      </c>
    </row>
    <row r="90" spans="1:4" ht="16" x14ac:dyDescent="0.2">
      <c r="A90" s="13" t="s">
        <v>29</v>
      </c>
      <c r="B90" s="19">
        <v>206.11399999999998</v>
      </c>
      <c r="C90" s="48">
        <v>1.307179191703021E-5</v>
      </c>
      <c r="D90" s="47" t="s">
        <v>46</v>
      </c>
    </row>
    <row r="91" spans="1:4" ht="16" x14ac:dyDescent="0.2">
      <c r="A91" s="13" t="s">
        <v>29</v>
      </c>
      <c r="B91" s="19">
        <v>206.11399999999998</v>
      </c>
      <c r="C91" s="48">
        <v>1.163216725656433E-5</v>
      </c>
      <c r="D91" s="47" t="s">
        <v>46</v>
      </c>
    </row>
    <row r="92" spans="1:4" ht="16" x14ac:dyDescent="0.2">
      <c r="A92" s="13" t="s">
        <v>29</v>
      </c>
      <c r="B92" s="19">
        <v>309.17099999999999</v>
      </c>
      <c r="C92" s="48">
        <v>1.8916668038521687E-5</v>
      </c>
      <c r="D92" s="47" t="s">
        <v>46</v>
      </c>
    </row>
    <row r="93" spans="1:4" ht="16" x14ac:dyDescent="0.2">
      <c r="A93" s="13" t="s">
        <v>29</v>
      </c>
      <c r="B93" s="19">
        <v>309.17099999999999</v>
      </c>
      <c r="C93" s="48">
        <v>3.2785052267676365E-5</v>
      </c>
      <c r="D93" s="47" t="s">
        <v>46</v>
      </c>
    </row>
    <row r="94" spans="1:4" ht="16" x14ac:dyDescent="0.2">
      <c r="A94" s="13" t="s">
        <v>29</v>
      </c>
      <c r="B94" s="19">
        <v>412.22799999999995</v>
      </c>
      <c r="C94" s="48">
        <v>2.5433369001563916E-5</v>
      </c>
      <c r="D94" s="47" t="s">
        <v>46</v>
      </c>
    </row>
    <row r="95" spans="1:4" ht="16" x14ac:dyDescent="0.2">
      <c r="A95" s="13" t="s">
        <v>29</v>
      </c>
      <c r="B95" s="19">
        <v>412.22799999999995</v>
      </c>
      <c r="C95" s="48">
        <v>1.8734315581529347E-5</v>
      </c>
      <c r="D95" s="47" t="s">
        <v>46</v>
      </c>
    </row>
    <row r="96" spans="1:4" ht="16" x14ac:dyDescent="0.2">
      <c r="A96" s="13" t="s">
        <v>29</v>
      </c>
      <c r="B96" s="19">
        <v>515.28499999999997</v>
      </c>
      <c r="C96" s="48">
        <v>3.109589266606305E-5</v>
      </c>
      <c r="D96" s="47" t="s">
        <v>46</v>
      </c>
    </row>
    <row r="97" spans="1:4" ht="16" x14ac:dyDescent="0.2">
      <c r="A97" s="13" t="s">
        <v>29</v>
      </c>
      <c r="B97" s="19">
        <v>515.28499999999997</v>
      </c>
      <c r="C97" s="48">
        <v>2.3581051938431149E-5</v>
      </c>
      <c r="D97" s="47" t="s">
        <v>46</v>
      </c>
    </row>
    <row r="98" spans="1:4" ht="16" x14ac:dyDescent="0.2">
      <c r="A98" s="13" t="s">
        <v>29</v>
      </c>
      <c r="B98" s="19">
        <v>618.34199999999998</v>
      </c>
      <c r="C98" s="48">
        <v>3.1220660136636763E-5</v>
      </c>
      <c r="D98" s="47" t="s">
        <v>46</v>
      </c>
    </row>
    <row r="99" spans="1:4" ht="16" x14ac:dyDescent="0.2">
      <c r="A99" s="13" t="s">
        <v>29</v>
      </c>
      <c r="B99" s="19">
        <v>618.34199999999998</v>
      </c>
      <c r="C99" s="48">
        <v>3.2986599720141575E-5</v>
      </c>
      <c r="D99" s="47" t="s">
        <v>46</v>
      </c>
    </row>
    <row r="100" spans="1:4" ht="16" x14ac:dyDescent="0.2">
      <c r="A100" s="13" t="s">
        <v>29</v>
      </c>
      <c r="B100" s="19">
        <v>721.39899999999989</v>
      </c>
      <c r="C100" s="48">
        <v>3.8236430981973828E-5</v>
      </c>
      <c r="D100" s="47" t="s">
        <v>46</v>
      </c>
    </row>
    <row r="101" spans="1:4" ht="16" x14ac:dyDescent="0.2">
      <c r="A101" s="13" t="s">
        <v>29</v>
      </c>
      <c r="B101" s="19">
        <v>721.39899999999989</v>
      </c>
      <c r="C101" s="48">
        <v>3.757420363815952E-5</v>
      </c>
      <c r="D101" s="47" t="s">
        <v>46</v>
      </c>
    </row>
    <row r="102" spans="1:4" ht="16" x14ac:dyDescent="0.2">
      <c r="A102" s="13" t="s">
        <v>29</v>
      </c>
      <c r="B102" s="19">
        <v>824.4559999999999</v>
      </c>
      <c r="C102" s="48">
        <v>4.2344160013169808E-5</v>
      </c>
      <c r="D102" s="47" t="s">
        <v>46</v>
      </c>
    </row>
    <row r="103" spans="1:4" ht="16" x14ac:dyDescent="0.2">
      <c r="A103" s="13" t="s">
        <v>29</v>
      </c>
      <c r="B103" s="19">
        <v>824.4559999999999</v>
      </c>
      <c r="C103" s="48">
        <v>3.8217235986500954E-5</v>
      </c>
      <c r="D103" s="47" t="s">
        <v>46</v>
      </c>
    </row>
    <row r="104" spans="1:4" ht="16" x14ac:dyDescent="0.2">
      <c r="A104" s="13" t="s">
        <v>29</v>
      </c>
      <c r="B104" s="19">
        <v>927.51300000000003</v>
      </c>
      <c r="C104" s="48">
        <v>2.3206749526710023E-5</v>
      </c>
      <c r="D104" s="47" t="s">
        <v>46</v>
      </c>
    </row>
    <row r="105" spans="1:4" ht="16" x14ac:dyDescent="0.2">
      <c r="A105" s="13" t="s">
        <v>29</v>
      </c>
      <c r="B105" s="19">
        <v>927.51300000000003</v>
      </c>
      <c r="C105" s="48">
        <v>4.1653140176146192E-5</v>
      </c>
      <c r="D105" s="47" t="s">
        <v>46</v>
      </c>
    </row>
    <row r="106" spans="1:4" ht="16" x14ac:dyDescent="0.2">
      <c r="A106" s="13" t="s">
        <v>29</v>
      </c>
      <c r="B106" s="19">
        <v>1030.57</v>
      </c>
      <c r="C106" s="48">
        <v>4.9503893324553467E-5</v>
      </c>
      <c r="D106" s="47" t="s">
        <v>46</v>
      </c>
    </row>
    <row r="107" spans="1:4" ht="16" x14ac:dyDescent="0.2">
      <c r="A107" s="13" t="s">
        <v>29</v>
      </c>
      <c r="B107" s="19">
        <v>1030.57</v>
      </c>
      <c r="C107" s="48">
        <v>4.8380986089390082E-5</v>
      </c>
      <c r="D107" s="47" t="s">
        <v>46</v>
      </c>
    </row>
    <row r="108" spans="1:4" ht="16" x14ac:dyDescent="0.2">
      <c r="A108" s="13" t="s">
        <v>29</v>
      </c>
      <c r="B108" s="19">
        <v>1236.684</v>
      </c>
      <c r="C108" s="48">
        <v>5.6586846654045602E-5</v>
      </c>
      <c r="D108" s="47" t="s">
        <v>46</v>
      </c>
    </row>
    <row r="109" spans="1:4" ht="16" x14ac:dyDescent="0.2">
      <c r="A109" s="13" t="s">
        <v>29</v>
      </c>
      <c r="B109" s="19">
        <v>1236.684</v>
      </c>
      <c r="C109" s="48">
        <v>6.1539155486048239E-5</v>
      </c>
      <c r="D109" s="47" t="s">
        <v>46</v>
      </c>
    </row>
    <row r="110" spans="1:4" ht="16" x14ac:dyDescent="0.2">
      <c r="A110" s="13" t="s">
        <v>29</v>
      </c>
      <c r="B110" s="19">
        <v>1442.7979999999998</v>
      </c>
      <c r="C110" s="48">
        <v>7.9035393859576929E-5</v>
      </c>
      <c r="D110" s="47" t="s">
        <v>46</v>
      </c>
    </row>
    <row r="111" spans="1:4" ht="16" x14ac:dyDescent="0.2">
      <c r="A111" s="13" t="s">
        <v>29</v>
      </c>
      <c r="B111" s="19">
        <v>1442.7979999999998</v>
      </c>
      <c r="C111" s="48">
        <v>7.7547781710428845E-5</v>
      </c>
      <c r="D111" s="47" t="s">
        <v>46</v>
      </c>
    </row>
    <row r="112" spans="1:4" ht="16" x14ac:dyDescent="0.2">
      <c r="A112" s="13" t="s">
        <v>29</v>
      </c>
      <c r="B112" s="19">
        <v>1648.9119999999998</v>
      </c>
      <c r="C112" s="48">
        <v>9.5869404889291324E-5</v>
      </c>
      <c r="D112" s="47" t="s">
        <v>46</v>
      </c>
    </row>
    <row r="113" spans="1:4" ht="16" x14ac:dyDescent="0.2">
      <c r="A113" s="13" t="s">
        <v>29</v>
      </c>
      <c r="B113" s="19">
        <v>1648.9119999999998</v>
      </c>
      <c r="C113" s="48">
        <v>1.1207957856613713E-4</v>
      </c>
      <c r="D113" s="47" t="s">
        <v>46</v>
      </c>
    </row>
    <row r="114" spans="1:4" ht="16" x14ac:dyDescent="0.2">
      <c r="A114" s="13" t="s">
        <v>29</v>
      </c>
      <c r="B114" s="19">
        <v>1855.0260000000001</v>
      </c>
      <c r="C114" s="48">
        <v>1.1564984772409252E-4</v>
      </c>
      <c r="D114" s="47" t="s">
        <v>46</v>
      </c>
    </row>
    <row r="115" spans="1:4" ht="16" x14ac:dyDescent="0.2">
      <c r="A115" s="13" t="s">
        <v>29</v>
      </c>
      <c r="B115" s="19">
        <v>1855.0260000000001</v>
      </c>
      <c r="C115" s="48">
        <v>1.0896998929953085E-4</v>
      </c>
      <c r="D115" s="47" t="s">
        <v>46</v>
      </c>
    </row>
    <row r="116" spans="1:4" ht="16" x14ac:dyDescent="0.2">
      <c r="A116" s="13" t="s">
        <v>29</v>
      </c>
      <c r="B116" s="19">
        <v>2061.14</v>
      </c>
      <c r="C116" s="48">
        <v>1.3935566713309738E-4</v>
      </c>
      <c r="D116" s="47" t="s">
        <v>46</v>
      </c>
    </row>
    <row r="117" spans="1:4" ht="16" x14ac:dyDescent="0.2">
      <c r="A117" s="13" t="s">
        <v>29</v>
      </c>
      <c r="B117" s="19">
        <v>2061.14</v>
      </c>
      <c r="C117" s="48">
        <v>1.1615851510412379E-4</v>
      </c>
      <c r="D117" s="47" t="s">
        <v>46</v>
      </c>
    </row>
    <row r="118" spans="1:4" ht="16" x14ac:dyDescent="0.2">
      <c r="A118" s="13" t="s">
        <v>29</v>
      </c>
      <c r="B118" s="19">
        <v>2267.2539999999999</v>
      </c>
      <c r="C118" s="48">
        <v>1.726397892830686E-4</v>
      </c>
      <c r="D118" s="47" t="s">
        <v>46</v>
      </c>
    </row>
    <row r="119" spans="1:4" ht="16" x14ac:dyDescent="0.2">
      <c r="A119" s="13" t="s">
        <v>29</v>
      </c>
      <c r="B119" s="19">
        <v>2267.2539999999999</v>
      </c>
      <c r="C119" s="48">
        <v>1.3823275989793398E-4</v>
      </c>
      <c r="D119" s="47" t="s">
        <v>46</v>
      </c>
    </row>
    <row r="120" spans="1:4" ht="16" x14ac:dyDescent="0.2">
      <c r="A120" s="13" t="s">
        <v>29</v>
      </c>
      <c r="B120" s="19">
        <v>2679.4819999999995</v>
      </c>
      <c r="C120" s="48">
        <v>1.6795621038768625E-4</v>
      </c>
      <c r="D120" s="47" t="s">
        <v>46</v>
      </c>
    </row>
    <row r="121" spans="1:4" ht="16" x14ac:dyDescent="0.2">
      <c r="A121" s="13" t="s">
        <v>29</v>
      </c>
      <c r="B121" s="19">
        <v>2679.4819999999995</v>
      </c>
      <c r="C121" s="48">
        <v>1.57178220429665E-4</v>
      </c>
      <c r="D121" s="47" t="s">
        <v>46</v>
      </c>
    </row>
    <row r="122" spans="1:4" ht="16" x14ac:dyDescent="0.2">
      <c r="A122" s="13" t="s">
        <v>29</v>
      </c>
      <c r="B122" s="19">
        <v>3091.7099999999996</v>
      </c>
      <c r="C122" s="48">
        <v>1.9874498312618321E-4</v>
      </c>
      <c r="D122" s="47" t="s">
        <v>46</v>
      </c>
    </row>
    <row r="123" spans="1:4" ht="16" x14ac:dyDescent="0.2">
      <c r="A123" s="13" t="s">
        <v>29</v>
      </c>
      <c r="B123" s="19">
        <v>3091.7099999999996</v>
      </c>
      <c r="C123" s="48">
        <v>1.9868739813976461E-4</v>
      </c>
      <c r="D123" s="47" t="s">
        <v>46</v>
      </c>
    </row>
    <row r="124" spans="1:4" ht="16" x14ac:dyDescent="0.2">
      <c r="A124" s="13" t="s">
        <v>29</v>
      </c>
      <c r="B124" s="19">
        <v>3503.9379999999996</v>
      </c>
      <c r="C124" s="48">
        <v>2.4901667626965189E-4</v>
      </c>
      <c r="D124" s="47" t="s">
        <v>46</v>
      </c>
    </row>
    <row r="125" spans="1:4" ht="16" x14ac:dyDescent="0.2">
      <c r="A125" s="13" t="s">
        <v>29</v>
      </c>
      <c r="B125" s="19">
        <v>3503.9379999999996</v>
      </c>
      <c r="C125" s="48">
        <v>2.2639537410486463E-4</v>
      </c>
      <c r="D125" s="47" t="s">
        <v>46</v>
      </c>
    </row>
    <row r="126" spans="1:4" ht="16" x14ac:dyDescent="0.2">
      <c r="A126" s="13" t="s">
        <v>29</v>
      </c>
      <c r="B126" s="19">
        <v>3916.1659999999997</v>
      </c>
      <c r="C126" s="48">
        <v>2.5761603424150135E-4</v>
      </c>
      <c r="D126" s="47" t="s">
        <v>46</v>
      </c>
    </row>
    <row r="127" spans="1:4" ht="16" x14ac:dyDescent="0.2">
      <c r="A127" s="13" t="s">
        <v>29</v>
      </c>
      <c r="B127" s="19">
        <v>3916.1659999999997</v>
      </c>
      <c r="C127" s="48">
        <v>2.2322819985183968E-4</v>
      </c>
      <c r="D127" s="47" t="s">
        <v>46</v>
      </c>
    </row>
    <row r="128" spans="1:4" ht="16" x14ac:dyDescent="0.2">
      <c r="A128" s="13" t="s">
        <v>29</v>
      </c>
      <c r="B128" s="19">
        <v>4328.3939999999993</v>
      </c>
      <c r="C128" s="48">
        <v>2.440547699399128E-4</v>
      </c>
      <c r="D128" s="47" t="s">
        <v>46</v>
      </c>
    </row>
    <row r="129" spans="1:4" ht="16" x14ac:dyDescent="0.2">
      <c r="A129" s="13" t="s">
        <v>29</v>
      </c>
      <c r="B129" s="19">
        <v>4328.3939999999993</v>
      </c>
      <c r="C129" s="48">
        <v>2.4121391060992676E-4</v>
      </c>
      <c r="D129" s="47" t="s">
        <v>46</v>
      </c>
    </row>
    <row r="130" spans="1:4" ht="16" x14ac:dyDescent="0.2">
      <c r="A130" s="13" t="s">
        <v>29</v>
      </c>
      <c r="B130" s="19">
        <v>4740.6219999999994</v>
      </c>
      <c r="C130" s="48">
        <v>2.5176156062227346E-4</v>
      </c>
      <c r="D130" s="47" t="s">
        <v>46</v>
      </c>
    </row>
    <row r="131" spans="1:4" ht="16" x14ac:dyDescent="0.2">
      <c r="A131" s="13" t="s">
        <v>29</v>
      </c>
      <c r="B131" s="19">
        <v>4740.6219999999994</v>
      </c>
      <c r="C131" s="48">
        <v>2.5524545230060092E-4</v>
      </c>
      <c r="D131" s="47" t="s">
        <v>46</v>
      </c>
    </row>
    <row r="132" spans="1:4" ht="16" x14ac:dyDescent="0.2">
      <c r="A132" s="13" t="s">
        <v>29</v>
      </c>
      <c r="B132" s="19">
        <v>5152.8500000000004</v>
      </c>
      <c r="C132" s="48">
        <v>2.8691719483085027E-4</v>
      </c>
      <c r="D132" s="47" t="s">
        <v>46</v>
      </c>
    </row>
    <row r="133" spans="1:4" ht="16" x14ac:dyDescent="0.2">
      <c r="A133" s="13" t="s">
        <v>29</v>
      </c>
      <c r="B133" s="19">
        <v>5152.8500000000004</v>
      </c>
      <c r="C133" s="48">
        <v>2.4483322004330602E-4</v>
      </c>
      <c r="D133" s="47" t="s">
        <v>46</v>
      </c>
    </row>
    <row r="134" spans="1:4" x14ac:dyDescent="0.2">
      <c r="A134" s="13" t="s">
        <v>29</v>
      </c>
      <c r="B134" s="19">
        <v>0</v>
      </c>
      <c r="C134" s="48">
        <v>1.8764380241433807E-5</v>
      </c>
      <c r="D134" s="46" t="s">
        <v>44</v>
      </c>
    </row>
    <row r="135" spans="1:4" x14ac:dyDescent="0.2">
      <c r="A135" s="13" t="s">
        <v>29</v>
      </c>
      <c r="B135" s="19">
        <v>51.528499999999994</v>
      </c>
      <c r="C135" s="48">
        <v>7.1640520528598815E-6</v>
      </c>
      <c r="D135" s="46" t="s">
        <v>44</v>
      </c>
    </row>
    <row r="136" spans="1:4" x14ac:dyDescent="0.2">
      <c r="A136" s="13" t="s">
        <v>29</v>
      </c>
      <c r="B136" s="19">
        <v>103.05699999999999</v>
      </c>
      <c r="C136" s="48">
        <v>2.6151702209220216E-5</v>
      </c>
      <c r="D136" s="46" t="s">
        <v>44</v>
      </c>
    </row>
    <row r="137" spans="1:4" x14ac:dyDescent="0.2">
      <c r="A137" s="13" t="s">
        <v>29</v>
      </c>
      <c r="B137" s="19">
        <v>103.05699999999999</v>
      </c>
      <c r="C137" s="48">
        <v>9.6685580550791892E-6</v>
      </c>
      <c r="D137" s="46" t="s">
        <v>44</v>
      </c>
    </row>
    <row r="138" spans="1:4" x14ac:dyDescent="0.2">
      <c r="A138" s="13" t="s">
        <v>29</v>
      </c>
      <c r="B138" s="19">
        <v>154.5855</v>
      </c>
      <c r="C138" s="48">
        <v>3.2519748478429007E-5</v>
      </c>
      <c r="D138" s="46" t="s">
        <v>44</v>
      </c>
    </row>
    <row r="139" spans="1:4" x14ac:dyDescent="0.2">
      <c r="A139" s="13" t="s">
        <v>29</v>
      </c>
      <c r="B139" s="19">
        <v>154.5855</v>
      </c>
      <c r="C139" s="48">
        <v>1.2910825515316587E-5</v>
      </c>
      <c r="D139" s="46" t="s">
        <v>44</v>
      </c>
    </row>
    <row r="140" spans="1:4" x14ac:dyDescent="0.2">
      <c r="A140" s="13" t="s">
        <v>29</v>
      </c>
      <c r="B140" s="19">
        <v>206.11399999999998</v>
      </c>
      <c r="C140" s="48">
        <v>2.3724855307844916E-5</v>
      </c>
      <c r="D140" s="46" t="s">
        <v>44</v>
      </c>
    </row>
    <row r="141" spans="1:4" x14ac:dyDescent="0.2">
      <c r="A141" s="13" t="s">
        <v>29</v>
      </c>
      <c r="B141" s="19">
        <v>206.11399999999998</v>
      </c>
      <c r="C141" s="48">
        <v>1.3134095430243118E-5</v>
      </c>
      <c r="D141" s="46" t="s">
        <v>44</v>
      </c>
    </row>
    <row r="142" spans="1:4" x14ac:dyDescent="0.2">
      <c r="A142" s="13" t="s">
        <v>29</v>
      </c>
      <c r="B142" s="19">
        <v>309.17099999999999</v>
      </c>
      <c r="C142" s="48">
        <v>3.0034657251420691E-5</v>
      </c>
      <c r="D142" s="46" t="s">
        <v>44</v>
      </c>
    </row>
    <row r="143" spans="1:4" x14ac:dyDescent="0.2">
      <c r="A143" s="13" t="s">
        <v>29</v>
      </c>
      <c r="B143" s="19">
        <v>309.17099999999999</v>
      </c>
      <c r="C143" s="48">
        <v>2.4375250277413499E-5</v>
      </c>
      <c r="D143" s="46" t="s">
        <v>44</v>
      </c>
    </row>
    <row r="144" spans="1:4" x14ac:dyDescent="0.2">
      <c r="A144" s="13" t="s">
        <v>29</v>
      </c>
      <c r="B144" s="19">
        <v>412.22799999999995</v>
      </c>
      <c r="C144" s="48">
        <v>5.024543824607418E-5</v>
      </c>
      <c r="D144" s="46" t="s">
        <v>44</v>
      </c>
    </row>
    <row r="145" spans="1:4" x14ac:dyDescent="0.2">
      <c r="A145" s="13" t="s">
        <v>29</v>
      </c>
      <c r="B145" s="19">
        <v>412.22799999999995</v>
      </c>
      <c r="C145" s="48">
        <v>3.3131313897575581E-5</v>
      </c>
      <c r="D145" s="46" t="s">
        <v>44</v>
      </c>
    </row>
    <row r="146" spans="1:4" x14ac:dyDescent="0.2">
      <c r="A146" s="13" t="s">
        <v>29</v>
      </c>
      <c r="B146" s="19">
        <v>515.28499999999997</v>
      </c>
      <c r="C146" s="48">
        <v>6.4563834964188432E-5</v>
      </c>
      <c r="D146" s="46" t="s">
        <v>44</v>
      </c>
    </row>
    <row r="147" spans="1:4" x14ac:dyDescent="0.2">
      <c r="A147" s="13" t="s">
        <v>29</v>
      </c>
      <c r="B147" s="19">
        <v>515.28499999999997</v>
      </c>
      <c r="C147" s="48">
        <v>4.4984034163892528E-5</v>
      </c>
      <c r="D147" s="46" t="s">
        <v>44</v>
      </c>
    </row>
    <row r="148" spans="1:4" x14ac:dyDescent="0.2">
      <c r="A148" s="13" t="s">
        <v>29</v>
      </c>
      <c r="B148" s="19">
        <v>618.34199999999998</v>
      </c>
      <c r="C148" s="48">
        <v>8.282343105013618E-5</v>
      </c>
      <c r="D148" s="46" t="s">
        <v>44</v>
      </c>
    </row>
    <row r="149" spans="1:4" x14ac:dyDescent="0.2">
      <c r="A149" s="13" t="s">
        <v>29</v>
      </c>
      <c r="B149" s="19">
        <v>618.34199999999998</v>
      </c>
      <c r="C149" s="48">
        <v>6.5321011197417539E-5</v>
      </c>
      <c r="D149" s="46" t="s">
        <v>44</v>
      </c>
    </row>
    <row r="150" spans="1:4" x14ac:dyDescent="0.2">
      <c r="A150" s="13" t="s">
        <v>29</v>
      </c>
      <c r="B150" s="19">
        <v>721.39899999999989</v>
      </c>
      <c r="C150" s="48">
        <v>9.1666861158747786E-5</v>
      </c>
      <c r="D150" s="46" t="s">
        <v>44</v>
      </c>
    </row>
    <row r="151" spans="1:4" x14ac:dyDescent="0.2">
      <c r="A151" s="13" t="s">
        <v>29</v>
      </c>
      <c r="B151" s="19">
        <v>721.39899999999989</v>
      </c>
      <c r="C151" s="48">
        <v>9.3103554524361928E-5</v>
      </c>
      <c r="D151" s="46" t="s">
        <v>44</v>
      </c>
    </row>
    <row r="152" spans="1:4" x14ac:dyDescent="0.2">
      <c r="A152" s="13" t="s">
        <v>29</v>
      </c>
      <c r="B152" s="19">
        <v>824.4559999999999</v>
      </c>
      <c r="C152" s="48">
        <v>1.0581052489996302E-4</v>
      </c>
      <c r="D152" s="46" t="s">
        <v>44</v>
      </c>
    </row>
    <row r="153" spans="1:4" x14ac:dyDescent="0.2">
      <c r="A153" s="13" t="s">
        <v>29</v>
      </c>
      <c r="B153" s="19">
        <v>824.4559999999999</v>
      </c>
      <c r="C153" s="48">
        <v>9.7161242543461444E-5</v>
      </c>
      <c r="D153" s="46" t="s">
        <v>44</v>
      </c>
    </row>
    <row r="154" spans="1:4" x14ac:dyDescent="0.2">
      <c r="A154" s="13" t="s">
        <v>29</v>
      </c>
      <c r="B154" s="19">
        <v>927.51300000000003</v>
      </c>
      <c r="C154" s="48">
        <v>4.7139074212313795E-5</v>
      </c>
      <c r="D154" s="46" t="s">
        <v>44</v>
      </c>
    </row>
    <row r="155" spans="1:4" x14ac:dyDescent="0.2">
      <c r="A155" s="13" t="s">
        <v>29</v>
      </c>
      <c r="B155" s="19">
        <v>927.51300000000003</v>
      </c>
      <c r="C155" s="48">
        <v>1.2735121799657014E-4</v>
      </c>
      <c r="D155" s="46" t="s">
        <v>44</v>
      </c>
    </row>
    <row r="156" spans="1:4" x14ac:dyDescent="0.2">
      <c r="A156" s="13" t="s">
        <v>29</v>
      </c>
      <c r="B156" s="19">
        <v>1030.57</v>
      </c>
      <c r="C156" s="48">
        <v>1.5438629247789098E-4</v>
      </c>
      <c r="D156" s="46" t="s">
        <v>44</v>
      </c>
    </row>
    <row r="157" spans="1:4" x14ac:dyDescent="0.2">
      <c r="A157" s="13" t="s">
        <v>29</v>
      </c>
      <c r="B157" s="19">
        <v>1030.57</v>
      </c>
      <c r="C157" s="48">
        <v>1.4229088752143649E-4</v>
      </c>
      <c r="D157" s="46" t="s">
        <v>44</v>
      </c>
    </row>
    <row r="158" spans="1:4" x14ac:dyDescent="0.2">
      <c r="A158" s="13" t="s">
        <v>29</v>
      </c>
      <c r="B158" s="19">
        <v>1236.684</v>
      </c>
      <c r="C158" s="48">
        <v>2.0097204559669122E-4</v>
      </c>
      <c r="D158" s="46" t="s">
        <v>44</v>
      </c>
    </row>
    <row r="159" spans="1:4" x14ac:dyDescent="0.2">
      <c r="A159" s="13" t="s">
        <v>29</v>
      </c>
      <c r="B159" s="19">
        <v>1236.684</v>
      </c>
      <c r="C159" s="48">
        <v>1.8647891590167792E-4</v>
      </c>
      <c r="D159" s="46" t="s">
        <v>44</v>
      </c>
    </row>
    <row r="160" spans="1:4" x14ac:dyDescent="0.2">
      <c r="A160" s="13" t="s">
        <v>29</v>
      </c>
      <c r="B160" s="19">
        <v>1442.7979999999998</v>
      </c>
      <c r="C160" s="48">
        <v>2.5630415494804799E-4</v>
      </c>
      <c r="D160" s="46" t="s">
        <v>44</v>
      </c>
    </row>
    <row r="161" spans="1:4" x14ac:dyDescent="0.2">
      <c r="A161" s="13" t="s">
        <v>29</v>
      </c>
      <c r="B161" s="19">
        <v>1442.7979999999998</v>
      </c>
      <c r="C161" s="48">
        <v>2.3995691422038404E-4</v>
      </c>
      <c r="D161" s="46" t="s">
        <v>44</v>
      </c>
    </row>
    <row r="162" spans="1:4" x14ac:dyDescent="0.2">
      <c r="A162" s="13" t="s">
        <v>29</v>
      </c>
      <c r="B162" s="19">
        <v>1648.9119999999998</v>
      </c>
      <c r="C162" s="48">
        <v>3.0508377766569149E-4</v>
      </c>
      <c r="D162" s="46" t="s">
        <v>44</v>
      </c>
    </row>
    <row r="163" spans="1:4" x14ac:dyDescent="0.2">
      <c r="A163" s="13" t="s">
        <v>29</v>
      </c>
      <c r="B163" s="19">
        <v>1648.9119999999998</v>
      </c>
      <c r="C163" s="48">
        <v>3.6039647224183729E-4</v>
      </c>
      <c r="D163" s="46" t="s">
        <v>44</v>
      </c>
    </row>
    <row r="164" spans="1:4" x14ac:dyDescent="0.2">
      <c r="A164" s="13" t="s">
        <v>29</v>
      </c>
      <c r="B164" s="19">
        <v>1855.0260000000001</v>
      </c>
      <c r="C164" s="48">
        <v>3.6995824903325597E-4</v>
      </c>
      <c r="D164" s="46" t="s">
        <v>44</v>
      </c>
    </row>
    <row r="165" spans="1:4" x14ac:dyDescent="0.2">
      <c r="A165" s="13" t="s">
        <v>29</v>
      </c>
      <c r="B165" s="19">
        <v>1855.0260000000001</v>
      </c>
      <c r="C165" s="48">
        <v>3.5432935498839904E-4</v>
      </c>
      <c r="D165" s="46" t="s">
        <v>44</v>
      </c>
    </row>
    <row r="166" spans="1:4" x14ac:dyDescent="0.2">
      <c r="A166" s="13" t="s">
        <v>29</v>
      </c>
      <c r="B166" s="19">
        <v>2061.14</v>
      </c>
      <c r="C166" s="48">
        <v>4.2782398654964859E-4</v>
      </c>
      <c r="D166" s="46" t="s">
        <v>44</v>
      </c>
    </row>
    <row r="167" spans="1:4" x14ac:dyDescent="0.2">
      <c r="A167" s="13" t="s">
        <v>29</v>
      </c>
      <c r="B167" s="19">
        <v>2061.14</v>
      </c>
      <c r="C167" s="48">
        <v>3.6927873190087097E-4</v>
      </c>
      <c r="D167" s="46" t="s">
        <v>44</v>
      </c>
    </row>
    <row r="168" spans="1:4" x14ac:dyDescent="0.2">
      <c r="A168" s="13" t="s">
        <v>29</v>
      </c>
      <c r="B168" s="19">
        <v>2267.2539999999999</v>
      </c>
      <c r="C168" s="48">
        <v>4.7534164887857696E-4</v>
      </c>
      <c r="D168" s="46" t="s">
        <v>44</v>
      </c>
    </row>
    <row r="169" spans="1:4" x14ac:dyDescent="0.2">
      <c r="A169" s="13" t="s">
        <v>29</v>
      </c>
      <c r="B169" s="19">
        <v>2267.2539999999999</v>
      </c>
      <c r="C169" s="48">
        <v>4.1598097367093716E-4</v>
      </c>
      <c r="D169" s="46" t="s">
        <v>44</v>
      </c>
    </row>
    <row r="170" spans="1:4" x14ac:dyDescent="0.2">
      <c r="A170" s="13" t="s">
        <v>29</v>
      </c>
      <c r="B170" s="19">
        <v>2679.4819999999995</v>
      </c>
      <c r="C170" s="48">
        <v>4.3825942822556241E-4</v>
      </c>
      <c r="D170" s="46" t="s">
        <v>44</v>
      </c>
    </row>
    <row r="171" spans="1:4" x14ac:dyDescent="0.2">
      <c r="A171" s="13" t="s">
        <v>29</v>
      </c>
      <c r="B171" s="19">
        <v>2679.4819999999995</v>
      </c>
      <c r="C171" s="48">
        <v>4.492287762197788E-4</v>
      </c>
      <c r="D171" s="46" t="s">
        <v>44</v>
      </c>
    </row>
    <row r="172" spans="1:4" x14ac:dyDescent="0.2">
      <c r="A172" s="13" t="s">
        <v>29</v>
      </c>
      <c r="B172" s="19">
        <v>3091.7099999999996</v>
      </c>
      <c r="C172" s="48">
        <v>4.3770610713204889E-4</v>
      </c>
      <c r="D172" s="46" t="s">
        <v>44</v>
      </c>
    </row>
    <row r="173" spans="1:4" x14ac:dyDescent="0.2">
      <c r="A173" s="13" t="s">
        <v>29</v>
      </c>
      <c r="B173" s="19">
        <v>3091.7099999999996</v>
      </c>
      <c r="C173" s="48">
        <v>4.4529728423955083E-4</v>
      </c>
      <c r="D173" s="46" t="s">
        <v>44</v>
      </c>
    </row>
    <row r="174" spans="1:4" x14ac:dyDescent="0.2">
      <c r="A174" s="13" t="s">
        <v>29</v>
      </c>
      <c r="B174" s="19">
        <v>3503.9379999999996</v>
      </c>
      <c r="C174" s="48">
        <v>4.6559543172265385E-4</v>
      </c>
      <c r="D174" s="46" t="s">
        <v>44</v>
      </c>
    </row>
    <row r="175" spans="1:4" x14ac:dyDescent="0.2">
      <c r="A175" s="13" t="s">
        <v>29</v>
      </c>
      <c r="B175" s="19">
        <v>3503.9379999999996</v>
      </c>
      <c r="C175" s="48">
        <v>4.4942292397188874E-4</v>
      </c>
      <c r="D175" s="46" t="s">
        <v>44</v>
      </c>
    </row>
    <row r="176" spans="1:4" x14ac:dyDescent="0.2">
      <c r="A176" s="13" t="s">
        <v>29</v>
      </c>
      <c r="B176" s="19">
        <v>3916.1659999999997</v>
      </c>
      <c r="C176" s="48">
        <v>4.5564535942701503E-4</v>
      </c>
      <c r="D176" s="46" t="s">
        <v>44</v>
      </c>
    </row>
    <row r="177" spans="1:4" x14ac:dyDescent="0.2">
      <c r="A177" s="13" t="s">
        <v>29</v>
      </c>
      <c r="B177" s="19">
        <v>3916.1659999999997</v>
      </c>
      <c r="C177" s="48">
        <v>4.02477997511685E-4</v>
      </c>
      <c r="D177" s="46" t="s">
        <v>44</v>
      </c>
    </row>
    <row r="178" spans="1:4" x14ac:dyDescent="0.2">
      <c r="A178" s="13" t="s">
        <v>29</v>
      </c>
      <c r="B178" s="19">
        <v>4328.3939999999993</v>
      </c>
      <c r="C178" s="48">
        <v>3.9719717865429233E-4</v>
      </c>
      <c r="D178" s="46" t="s">
        <v>44</v>
      </c>
    </row>
    <row r="179" spans="1:4" x14ac:dyDescent="0.2">
      <c r="A179" s="13" t="s">
        <v>29</v>
      </c>
      <c r="B179" s="19">
        <v>4328.3939999999993</v>
      </c>
      <c r="C179" s="48">
        <v>3.9999290628467676E-4</v>
      </c>
      <c r="D179" s="46" t="s">
        <v>44</v>
      </c>
    </row>
    <row r="180" spans="1:4" x14ac:dyDescent="0.2">
      <c r="A180" s="13" t="s">
        <v>29</v>
      </c>
      <c r="B180" s="19">
        <v>4740.6219999999994</v>
      </c>
      <c r="C180" s="48">
        <v>3.7112313554591618E-4</v>
      </c>
      <c r="D180" s="46" t="s">
        <v>44</v>
      </c>
    </row>
    <row r="181" spans="1:4" x14ac:dyDescent="0.2">
      <c r="A181" s="13" t="s">
        <v>29</v>
      </c>
      <c r="B181" s="19">
        <v>4740.6219999999994</v>
      </c>
      <c r="C181" s="48">
        <v>4.2175686929621045E-4</v>
      </c>
      <c r="D181" s="46" t="s">
        <v>44</v>
      </c>
    </row>
    <row r="182" spans="1:4" x14ac:dyDescent="0.2">
      <c r="A182" s="13" t="s">
        <v>29</v>
      </c>
      <c r="B182" s="19">
        <v>5152.8500000000004</v>
      </c>
      <c r="C182" s="48">
        <v>4.0734139870204108E-4</v>
      </c>
      <c r="D182" s="46" t="s">
        <v>44</v>
      </c>
    </row>
    <row r="183" spans="1:4" ht="16" x14ac:dyDescent="0.2">
      <c r="A183" s="13" t="s">
        <v>29</v>
      </c>
      <c r="B183" s="19">
        <v>5152.8500000000004</v>
      </c>
      <c r="C183" s="49">
        <v>3.9410052200813749E-4</v>
      </c>
      <c r="D183" s="46" t="s">
        <v>44</v>
      </c>
    </row>
    <row r="184" spans="1:4" x14ac:dyDescent="0.2">
      <c r="A184" s="13" t="s">
        <v>29</v>
      </c>
      <c r="B184" s="19">
        <v>0</v>
      </c>
      <c r="C184" s="48">
        <v>6.5660812772133526E-6</v>
      </c>
      <c r="D184" s="46" t="s">
        <v>45</v>
      </c>
    </row>
    <row r="185" spans="1:4" x14ac:dyDescent="0.2">
      <c r="A185" s="13" t="s">
        <v>29</v>
      </c>
      <c r="B185" s="19">
        <v>51.528499999999994</v>
      </c>
      <c r="C185" s="48">
        <v>4.0202503628447023E-6</v>
      </c>
      <c r="D185" s="46" t="s">
        <v>45</v>
      </c>
    </row>
    <row r="186" spans="1:4" x14ac:dyDescent="0.2">
      <c r="A186" s="13" t="s">
        <v>29</v>
      </c>
      <c r="B186" s="19">
        <v>103.05699999999999</v>
      </c>
      <c r="C186" s="48">
        <v>9.3379898403483302E-6</v>
      </c>
      <c r="D186" s="46" t="s">
        <v>45</v>
      </c>
    </row>
    <row r="187" spans="1:4" x14ac:dyDescent="0.2">
      <c r="A187" s="13" t="s">
        <v>29</v>
      </c>
      <c r="B187" s="19">
        <v>103.05699999999999</v>
      </c>
      <c r="C187" s="48">
        <v>5.6716001451378809E-6</v>
      </c>
      <c r="D187" s="46" t="s">
        <v>45</v>
      </c>
    </row>
    <row r="188" spans="1:4" x14ac:dyDescent="0.2">
      <c r="A188" s="13" t="s">
        <v>29</v>
      </c>
      <c r="B188" s="19">
        <v>154.5855</v>
      </c>
      <c r="C188" s="48">
        <v>9.3576487663280119E-6</v>
      </c>
      <c r="D188" s="46" t="s">
        <v>45</v>
      </c>
    </row>
    <row r="189" spans="1:4" x14ac:dyDescent="0.2">
      <c r="A189" s="13" t="s">
        <v>29</v>
      </c>
      <c r="B189" s="19">
        <v>154.5855</v>
      </c>
      <c r="C189" s="48">
        <v>7.873399854862119E-6</v>
      </c>
      <c r="D189" s="46" t="s">
        <v>45</v>
      </c>
    </row>
    <row r="190" spans="1:4" x14ac:dyDescent="0.2">
      <c r="A190" s="13" t="s">
        <v>29</v>
      </c>
      <c r="B190" s="19">
        <v>206.11399999999998</v>
      </c>
      <c r="C190" s="48">
        <v>1.0183323657474598E-5</v>
      </c>
      <c r="D190" s="46" t="s">
        <v>45</v>
      </c>
    </row>
    <row r="191" spans="1:4" x14ac:dyDescent="0.2">
      <c r="A191" s="13" t="s">
        <v>29</v>
      </c>
      <c r="B191" s="19">
        <v>206.11399999999998</v>
      </c>
      <c r="C191" s="48">
        <v>8.5123149492017392E-6</v>
      </c>
      <c r="D191" s="46" t="s">
        <v>45</v>
      </c>
    </row>
    <row r="192" spans="1:4" x14ac:dyDescent="0.2">
      <c r="A192" s="13" t="s">
        <v>29</v>
      </c>
      <c r="B192" s="19">
        <v>309.17099999999999</v>
      </c>
      <c r="C192" s="48">
        <v>1.6277590711175612E-5</v>
      </c>
      <c r="D192" s="46" t="s">
        <v>45</v>
      </c>
    </row>
    <row r="193" spans="1:4" x14ac:dyDescent="0.2">
      <c r="A193" s="13" t="s">
        <v>29</v>
      </c>
      <c r="B193" s="19">
        <v>309.17099999999999</v>
      </c>
      <c r="C193" s="48">
        <v>1.525532656023222E-5</v>
      </c>
      <c r="D193" s="46" t="s">
        <v>45</v>
      </c>
    </row>
    <row r="194" spans="1:4" x14ac:dyDescent="0.2">
      <c r="A194" s="13" t="s">
        <v>29</v>
      </c>
      <c r="B194" s="19">
        <v>412.22799999999995</v>
      </c>
      <c r="C194" s="48">
        <v>2.5084789550072568E-5</v>
      </c>
      <c r="D194" s="46" t="s">
        <v>45</v>
      </c>
    </row>
    <row r="195" spans="1:4" x14ac:dyDescent="0.2">
      <c r="A195" s="13" t="s">
        <v>29</v>
      </c>
      <c r="B195" s="19">
        <v>412.22799999999995</v>
      </c>
      <c r="C195" s="48">
        <v>1.6818211175616836E-5</v>
      </c>
      <c r="D195" s="46" t="s">
        <v>45</v>
      </c>
    </row>
    <row r="196" spans="1:4" x14ac:dyDescent="0.2">
      <c r="A196" s="13" t="s">
        <v>29</v>
      </c>
      <c r="B196" s="19">
        <v>515.28499999999997</v>
      </c>
      <c r="C196" s="48">
        <v>2.934094702467344E-5</v>
      </c>
      <c r="D196" s="46" t="s">
        <v>45</v>
      </c>
    </row>
    <row r="197" spans="1:4" x14ac:dyDescent="0.2">
      <c r="A197" s="13" t="s">
        <v>29</v>
      </c>
      <c r="B197" s="19">
        <v>515.28499999999997</v>
      </c>
      <c r="C197" s="48">
        <v>2.4367238751814216E-5</v>
      </c>
      <c r="D197" s="46" t="s">
        <v>45</v>
      </c>
    </row>
    <row r="198" spans="1:4" x14ac:dyDescent="0.2">
      <c r="A198" s="13" t="s">
        <v>29</v>
      </c>
      <c r="B198" s="19">
        <v>618.34199999999998</v>
      </c>
      <c r="C198" s="48">
        <v>3.8610130624092886E-5</v>
      </c>
      <c r="D198" s="46" t="s">
        <v>45</v>
      </c>
    </row>
    <row r="199" spans="1:4" x14ac:dyDescent="0.2">
      <c r="A199" s="13" t="s">
        <v>29</v>
      </c>
      <c r="B199" s="19">
        <v>618.34199999999998</v>
      </c>
      <c r="C199" s="48">
        <v>3.1867119013062404E-5</v>
      </c>
      <c r="D199" s="46" t="s">
        <v>45</v>
      </c>
    </row>
    <row r="200" spans="1:4" x14ac:dyDescent="0.2">
      <c r="A200" s="13" t="s">
        <v>29</v>
      </c>
      <c r="B200" s="19">
        <v>721.39899999999989</v>
      </c>
      <c r="C200" s="48">
        <v>4.4959963715529749E-5</v>
      </c>
      <c r="D200" s="46" t="s">
        <v>45</v>
      </c>
    </row>
    <row r="201" spans="1:4" x14ac:dyDescent="0.2">
      <c r="A201" s="13" t="s">
        <v>29</v>
      </c>
      <c r="B201" s="19">
        <v>721.39899999999989</v>
      </c>
      <c r="C201" s="48">
        <v>4.5323653846153835E-5</v>
      </c>
      <c r="D201" s="46" t="s">
        <v>45</v>
      </c>
    </row>
    <row r="202" spans="1:4" x14ac:dyDescent="0.2">
      <c r="A202" s="13" t="s">
        <v>29</v>
      </c>
      <c r="B202" s="19">
        <v>824.4559999999999</v>
      </c>
      <c r="C202" s="48">
        <v>5.1162354862119008E-5</v>
      </c>
      <c r="D202" s="46" t="s">
        <v>45</v>
      </c>
    </row>
    <row r="203" spans="1:4" x14ac:dyDescent="0.2">
      <c r="A203" s="13" t="s">
        <v>29</v>
      </c>
      <c r="B203" s="19">
        <v>824.4559999999999</v>
      </c>
      <c r="C203" s="48">
        <v>4.4900986937590701E-5</v>
      </c>
      <c r="D203" s="46" t="s">
        <v>45</v>
      </c>
    </row>
    <row r="204" spans="1:4" x14ac:dyDescent="0.2">
      <c r="A204" s="13" t="s">
        <v>29</v>
      </c>
      <c r="B204" s="19">
        <v>927.51300000000003</v>
      </c>
      <c r="C204" s="48">
        <v>2.3482587082728592E-5</v>
      </c>
      <c r="D204" s="46" t="s">
        <v>45</v>
      </c>
    </row>
    <row r="205" spans="1:4" x14ac:dyDescent="0.2">
      <c r="A205" s="13" t="s">
        <v>29</v>
      </c>
      <c r="B205" s="19">
        <v>927.51300000000003</v>
      </c>
      <c r="C205" s="48">
        <v>5.5428341799709723E-5</v>
      </c>
      <c r="D205" s="46" t="s">
        <v>45</v>
      </c>
    </row>
    <row r="206" spans="1:4" x14ac:dyDescent="0.2">
      <c r="A206" s="13" t="s">
        <v>29</v>
      </c>
      <c r="B206" s="19">
        <v>1030.57</v>
      </c>
      <c r="C206" s="48">
        <v>6.8000224963715516E-5</v>
      </c>
      <c r="D206" s="46" t="s">
        <v>45</v>
      </c>
    </row>
    <row r="207" spans="1:4" x14ac:dyDescent="0.2">
      <c r="A207" s="13" t="s">
        <v>29</v>
      </c>
      <c r="B207" s="19">
        <v>1030.57</v>
      </c>
      <c r="C207" s="48">
        <v>6.2584190856313497E-5</v>
      </c>
      <c r="D207" s="46" t="s">
        <v>45</v>
      </c>
    </row>
    <row r="208" spans="1:4" x14ac:dyDescent="0.2">
      <c r="A208" s="13" t="s">
        <v>29</v>
      </c>
      <c r="B208" s="19">
        <v>1236.684</v>
      </c>
      <c r="C208" s="48">
        <v>8.865192670537009E-5</v>
      </c>
      <c r="D208" s="46" t="s">
        <v>45</v>
      </c>
    </row>
    <row r="209" spans="1:4" x14ac:dyDescent="0.2">
      <c r="A209" s="13" t="s">
        <v>29</v>
      </c>
      <c r="B209" s="19">
        <v>1236.684</v>
      </c>
      <c r="C209" s="48">
        <v>8.2400388243831639E-5</v>
      </c>
      <c r="D209" s="46" t="s">
        <v>45</v>
      </c>
    </row>
    <row r="210" spans="1:4" x14ac:dyDescent="0.2">
      <c r="A210" s="13" t="s">
        <v>29</v>
      </c>
      <c r="B210" s="19">
        <v>1442.7979999999998</v>
      </c>
      <c r="C210" s="48">
        <v>1.141593831640058E-4</v>
      </c>
      <c r="D210" s="46" t="s">
        <v>45</v>
      </c>
    </row>
    <row r="211" spans="1:4" x14ac:dyDescent="0.2">
      <c r="A211" s="13" t="s">
        <v>29</v>
      </c>
      <c r="B211" s="19">
        <v>1442.7979999999998</v>
      </c>
      <c r="C211" s="48">
        <v>1.1112207910014513E-4</v>
      </c>
      <c r="D211" s="46" t="s">
        <v>45</v>
      </c>
    </row>
    <row r="212" spans="1:4" x14ac:dyDescent="0.2">
      <c r="A212" s="13" t="s">
        <v>29</v>
      </c>
      <c r="B212" s="19">
        <v>1648.9119999999998</v>
      </c>
      <c r="C212" s="48">
        <v>1.442277104499274E-4</v>
      </c>
      <c r="D212" s="46" t="s">
        <v>45</v>
      </c>
    </row>
    <row r="213" spans="1:4" x14ac:dyDescent="0.2">
      <c r="A213" s="13" t="s">
        <v>29</v>
      </c>
      <c r="B213" s="19">
        <v>1648.9119999999998</v>
      </c>
      <c r="C213" s="48">
        <v>1.6715001814223513E-4</v>
      </c>
      <c r="D213" s="46" t="s">
        <v>45</v>
      </c>
    </row>
    <row r="214" spans="1:4" x14ac:dyDescent="0.2">
      <c r="A214" s="13" t="s">
        <v>29</v>
      </c>
      <c r="B214" s="19">
        <v>1855.0260000000001</v>
      </c>
      <c r="C214" s="48">
        <v>1.774512953555878E-4</v>
      </c>
      <c r="D214" s="46" t="s">
        <v>45</v>
      </c>
    </row>
    <row r="215" spans="1:4" x14ac:dyDescent="0.2">
      <c r="A215" s="13" t="s">
        <v>29</v>
      </c>
      <c r="B215" s="19">
        <v>1855.0260000000001</v>
      </c>
      <c r="C215" s="48">
        <v>1.6939113570391869E-4</v>
      </c>
      <c r="D215" s="46" t="s">
        <v>45</v>
      </c>
    </row>
    <row r="216" spans="1:4" x14ac:dyDescent="0.2">
      <c r="A216" s="13" t="s">
        <v>29</v>
      </c>
      <c r="B216" s="19">
        <v>2061.14</v>
      </c>
      <c r="C216" s="48">
        <v>2.1047829100145134E-4</v>
      </c>
      <c r="D216" s="46" t="s">
        <v>45</v>
      </c>
    </row>
    <row r="217" spans="1:4" x14ac:dyDescent="0.2">
      <c r="A217" s="13" t="s">
        <v>29</v>
      </c>
      <c r="B217" s="19">
        <v>2061.14</v>
      </c>
      <c r="C217" s="48">
        <v>1.8732007619738747E-4</v>
      </c>
      <c r="D217" s="46" t="s">
        <v>45</v>
      </c>
    </row>
    <row r="218" spans="1:4" x14ac:dyDescent="0.2">
      <c r="A218" s="13" t="s">
        <v>29</v>
      </c>
      <c r="B218" s="19">
        <v>2267.2539999999999</v>
      </c>
      <c r="C218" s="48">
        <v>2.6025469158200289E-4</v>
      </c>
      <c r="D218" s="46" t="s">
        <v>45</v>
      </c>
    </row>
    <row r="219" spans="1:4" x14ac:dyDescent="0.2">
      <c r="A219" s="13" t="s">
        <v>29</v>
      </c>
      <c r="B219" s="19">
        <v>2267.2539999999999</v>
      </c>
      <c r="C219" s="48">
        <v>2.099081821480406E-4</v>
      </c>
      <c r="D219" s="46" t="s">
        <v>45</v>
      </c>
    </row>
    <row r="220" spans="1:4" x14ac:dyDescent="0.2">
      <c r="A220" s="13" t="s">
        <v>29</v>
      </c>
      <c r="B220" s="19">
        <v>2679.4819999999995</v>
      </c>
      <c r="C220" s="48">
        <v>2.6045128084179966E-4</v>
      </c>
      <c r="D220" s="46" t="s">
        <v>45</v>
      </c>
    </row>
    <row r="221" spans="1:4" x14ac:dyDescent="0.2">
      <c r="A221" s="13" t="s">
        <v>29</v>
      </c>
      <c r="B221" s="19">
        <v>2679.4819999999995</v>
      </c>
      <c r="C221" s="48">
        <v>2.5747295355587805E-4</v>
      </c>
      <c r="D221" s="46" t="s">
        <v>45</v>
      </c>
    </row>
    <row r="222" spans="1:4" x14ac:dyDescent="0.2">
      <c r="A222" s="13" t="s">
        <v>29</v>
      </c>
      <c r="B222" s="19">
        <v>3091.7099999999996</v>
      </c>
      <c r="C222" s="48">
        <v>2.9575871190130621E-4</v>
      </c>
      <c r="D222" s="46" t="s">
        <v>45</v>
      </c>
    </row>
    <row r="223" spans="1:4" x14ac:dyDescent="0.2">
      <c r="A223" s="13" t="s">
        <v>29</v>
      </c>
      <c r="B223" s="19">
        <v>3091.7099999999996</v>
      </c>
      <c r="C223" s="48">
        <v>2.9391077285921617E-4</v>
      </c>
      <c r="D223" s="46" t="s">
        <v>45</v>
      </c>
    </row>
    <row r="224" spans="1:4" x14ac:dyDescent="0.2">
      <c r="A224" s="13" t="s">
        <v>29</v>
      </c>
      <c r="B224" s="19">
        <v>3503.9379999999996</v>
      </c>
      <c r="C224" s="48">
        <v>3.5104944121915814E-4</v>
      </c>
      <c r="D224" s="46" t="s">
        <v>45</v>
      </c>
    </row>
    <row r="225" spans="1:4" x14ac:dyDescent="0.2">
      <c r="A225" s="13" t="s">
        <v>29</v>
      </c>
      <c r="B225" s="19">
        <v>3503.9379999999996</v>
      </c>
      <c r="C225" s="48">
        <v>3.3799591436865019E-4</v>
      </c>
      <c r="D225" s="46" t="s">
        <v>45</v>
      </c>
    </row>
    <row r="226" spans="1:4" x14ac:dyDescent="0.2">
      <c r="A226" s="13" t="s">
        <v>29</v>
      </c>
      <c r="B226" s="19">
        <v>3916.1659999999997</v>
      </c>
      <c r="C226" s="48">
        <v>3.5268113207547163E-4</v>
      </c>
      <c r="D226" s="46" t="s">
        <v>45</v>
      </c>
    </row>
    <row r="227" spans="1:4" x14ac:dyDescent="0.2">
      <c r="A227" s="13" t="s">
        <v>29</v>
      </c>
      <c r="B227" s="19">
        <v>3916.1659999999997</v>
      </c>
      <c r="C227" s="48">
        <v>3.258368686502177E-4</v>
      </c>
      <c r="D227" s="46" t="s">
        <v>45</v>
      </c>
    </row>
    <row r="228" spans="1:4" x14ac:dyDescent="0.2">
      <c r="A228" s="13" t="s">
        <v>29</v>
      </c>
      <c r="B228" s="19">
        <v>4328.3939999999993</v>
      </c>
      <c r="C228" s="48">
        <v>3.3159693396226416E-4</v>
      </c>
      <c r="D228" s="46" t="s">
        <v>45</v>
      </c>
    </row>
    <row r="229" spans="1:4" x14ac:dyDescent="0.2">
      <c r="A229" s="13" t="s">
        <v>29</v>
      </c>
      <c r="B229" s="19">
        <v>4328.3939999999993</v>
      </c>
      <c r="C229" s="48">
        <v>3.3554837808417992E-4</v>
      </c>
      <c r="D229" s="46" t="s">
        <v>45</v>
      </c>
    </row>
    <row r="230" spans="1:4" x14ac:dyDescent="0.2">
      <c r="A230" s="13" t="s">
        <v>29</v>
      </c>
      <c r="B230" s="19">
        <v>4740.6219999999994</v>
      </c>
      <c r="C230" s="48">
        <v>3.2973916545718426E-4</v>
      </c>
      <c r="D230" s="46" t="s">
        <v>45</v>
      </c>
    </row>
    <row r="231" spans="1:4" x14ac:dyDescent="0.2">
      <c r="A231" s="13" t="s">
        <v>29</v>
      </c>
      <c r="B231" s="19">
        <v>4740.6219999999994</v>
      </c>
      <c r="C231" s="48">
        <v>3.508823403483309E-4</v>
      </c>
      <c r="D231" s="46" t="s">
        <v>45</v>
      </c>
    </row>
    <row r="232" spans="1:4" x14ac:dyDescent="0.2">
      <c r="A232" s="13" t="s">
        <v>29</v>
      </c>
      <c r="B232" s="19">
        <v>5152.8500000000004</v>
      </c>
      <c r="C232" s="48">
        <v>3.6005322931785192E-4</v>
      </c>
      <c r="D232" s="46" t="s">
        <v>45</v>
      </c>
    </row>
    <row r="233" spans="1:4" ht="16" x14ac:dyDescent="0.2">
      <c r="A233" s="13" t="s">
        <v>29</v>
      </c>
      <c r="B233" s="19">
        <v>5152.8500000000004</v>
      </c>
      <c r="C233" s="49">
        <v>3.7040365384615381E-4</v>
      </c>
      <c r="D233" s="46" t="s">
        <v>45</v>
      </c>
    </row>
    <row r="234" spans="1:4" x14ac:dyDescent="0.2">
      <c r="A234" s="13" t="s">
        <v>29</v>
      </c>
      <c r="B234" s="19">
        <v>0</v>
      </c>
      <c r="C234" s="48">
        <v>2.4887041359246922E-6</v>
      </c>
      <c r="D234" s="46" t="s">
        <v>52</v>
      </c>
    </row>
    <row r="235" spans="1:4" x14ac:dyDescent="0.2">
      <c r="A235" s="13" t="s">
        <v>29</v>
      </c>
      <c r="B235" s="19">
        <v>51.528499999999994</v>
      </c>
      <c r="C235" s="48">
        <v>2.8745497383936374E-6</v>
      </c>
      <c r="D235" s="46" t="s">
        <v>52</v>
      </c>
    </row>
    <row r="236" spans="1:4" x14ac:dyDescent="0.2">
      <c r="A236" s="13" t="s">
        <v>29</v>
      </c>
      <c r="B236" s="19">
        <v>103.05699999999999</v>
      </c>
      <c r="C236" s="48">
        <v>2.4115350154309036E-6</v>
      </c>
      <c r="D236" s="46" t="s">
        <v>52</v>
      </c>
    </row>
    <row r="237" spans="1:4" x14ac:dyDescent="0.2">
      <c r="A237" s="13" t="s">
        <v>29</v>
      </c>
      <c r="B237" s="19">
        <v>103.05699999999999</v>
      </c>
      <c r="C237" s="48">
        <v>2.2571967744433257E-6</v>
      </c>
      <c r="D237" s="46" t="s">
        <v>52</v>
      </c>
    </row>
    <row r="238" spans="1:4" x14ac:dyDescent="0.2">
      <c r="A238" s="13" t="s">
        <v>29</v>
      </c>
      <c r="B238" s="19">
        <v>154.5855</v>
      </c>
      <c r="C238" s="48">
        <v>2.3633043151222853E-6</v>
      </c>
      <c r="D238" s="46" t="s">
        <v>52</v>
      </c>
    </row>
    <row r="239" spans="1:4" x14ac:dyDescent="0.2">
      <c r="A239" s="13" t="s">
        <v>29</v>
      </c>
      <c r="B239" s="19">
        <v>154.5855</v>
      </c>
      <c r="C239" s="48">
        <v>2.797380617899848E-6</v>
      </c>
      <c r="D239" s="46" t="s">
        <v>52</v>
      </c>
    </row>
    <row r="240" spans="1:4" x14ac:dyDescent="0.2">
      <c r="A240" s="13" t="s">
        <v>29</v>
      </c>
      <c r="B240" s="19">
        <v>206.11399999999998</v>
      </c>
      <c r="C240" s="48">
        <v>3.0867648197515573E-6</v>
      </c>
      <c r="D240" s="46" t="s">
        <v>52</v>
      </c>
    </row>
    <row r="241" spans="1:4" x14ac:dyDescent="0.2">
      <c r="A241" s="13" t="s">
        <v>29</v>
      </c>
      <c r="B241" s="19">
        <v>206.11399999999998</v>
      </c>
      <c r="C241" s="48">
        <v>3.1060570998750042E-6</v>
      </c>
      <c r="D241" s="46" t="s">
        <v>52</v>
      </c>
    </row>
    <row r="242" spans="1:4" x14ac:dyDescent="0.2">
      <c r="A242" s="13" t="s">
        <v>29</v>
      </c>
      <c r="B242" s="19">
        <v>309.17099999999999</v>
      </c>
      <c r="C242" s="48">
        <v>2.74914991759123E-6</v>
      </c>
      <c r="D242" s="46" t="s">
        <v>52</v>
      </c>
    </row>
    <row r="243" spans="1:4" x14ac:dyDescent="0.2">
      <c r="A243" s="13" t="s">
        <v>29</v>
      </c>
      <c r="B243" s="19">
        <v>309.17099999999999</v>
      </c>
      <c r="C243" s="48">
        <v>3.270041480924305E-6</v>
      </c>
      <c r="D243" s="46" t="s">
        <v>52</v>
      </c>
    </row>
    <row r="244" spans="1:4" x14ac:dyDescent="0.2">
      <c r="A244" s="13" t="s">
        <v>29</v>
      </c>
      <c r="B244" s="19">
        <v>412.22799999999995</v>
      </c>
      <c r="C244" s="48">
        <v>4.7941316106766358E-6</v>
      </c>
      <c r="D244" s="46" t="s">
        <v>52</v>
      </c>
    </row>
    <row r="245" spans="1:4" x14ac:dyDescent="0.2">
      <c r="A245" s="13" t="s">
        <v>29</v>
      </c>
      <c r="B245" s="19">
        <v>412.22799999999995</v>
      </c>
      <c r="C245" s="48">
        <v>4.2153632069732197E-6</v>
      </c>
      <c r="D245" s="46" t="s">
        <v>52</v>
      </c>
    </row>
    <row r="246" spans="1:4" x14ac:dyDescent="0.2">
      <c r="A246" s="13" t="s">
        <v>29</v>
      </c>
      <c r="B246" s="19">
        <v>515.28499999999997</v>
      </c>
      <c r="C246" s="48">
        <v>5.6719303562934853E-6</v>
      </c>
      <c r="D246" s="46" t="s">
        <v>52</v>
      </c>
    </row>
    <row r="247" spans="1:4" x14ac:dyDescent="0.2">
      <c r="A247" s="13" t="s">
        <v>29</v>
      </c>
      <c r="B247" s="19">
        <v>515.28499999999997</v>
      </c>
      <c r="C247" s="48">
        <v>5.9516684180834706E-6</v>
      </c>
      <c r="D247" s="46" t="s">
        <v>52</v>
      </c>
    </row>
    <row r="248" spans="1:4" x14ac:dyDescent="0.2">
      <c r="A248" s="13" t="s">
        <v>29</v>
      </c>
      <c r="B248" s="19">
        <v>618.34199999999998</v>
      </c>
      <c r="C248" s="48">
        <v>5.8455608774045106E-6</v>
      </c>
      <c r="D248" s="46" t="s">
        <v>52</v>
      </c>
    </row>
    <row r="249" spans="1:4" x14ac:dyDescent="0.2">
      <c r="A249" s="13" t="s">
        <v>29</v>
      </c>
      <c r="B249" s="19">
        <v>618.34199999999998</v>
      </c>
      <c r="C249" s="48">
        <v>3.6944716436401444E-6</v>
      </c>
      <c r="D249" s="46" t="s">
        <v>52</v>
      </c>
    </row>
    <row r="250" spans="1:4" x14ac:dyDescent="0.2">
      <c r="A250" s="13" t="s">
        <v>29</v>
      </c>
      <c r="B250" s="19">
        <v>721.39899999999989</v>
      </c>
      <c r="C250" s="48">
        <v>7.4854046878975247E-6</v>
      </c>
      <c r="D250" s="46" t="s">
        <v>52</v>
      </c>
    </row>
    <row r="251" spans="1:4" x14ac:dyDescent="0.2">
      <c r="A251" s="13" t="s">
        <v>29</v>
      </c>
      <c r="B251" s="19">
        <v>721.39899999999989</v>
      </c>
      <c r="C251" s="48">
        <v>7.7072659093171679E-6</v>
      </c>
      <c r="D251" s="46" t="s">
        <v>52</v>
      </c>
    </row>
    <row r="252" spans="1:4" x14ac:dyDescent="0.2">
      <c r="A252" s="13" t="s">
        <v>29</v>
      </c>
      <c r="B252" s="19">
        <v>824.4559999999999</v>
      </c>
      <c r="C252" s="48">
        <v>8.97091025740296E-6</v>
      </c>
      <c r="D252" s="46" t="s">
        <v>52</v>
      </c>
    </row>
    <row r="253" spans="1:4" x14ac:dyDescent="0.2">
      <c r="A253" s="13" t="s">
        <v>29</v>
      </c>
      <c r="B253" s="19">
        <v>824.4559999999999</v>
      </c>
      <c r="C253" s="48">
        <v>8.1316960720330078E-6</v>
      </c>
      <c r="D253" s="46" t="s">
        <v>52</v>
      </c>
    </row>
    <row r="254" spans="1:4" x14ac:dyDescent="0.2">
      <c r="A254" s="13" t="s">
        <v>29</v>
      </c>
      <c r="B254" s="19">
        <v>927.51300000000003</v>
      </c>
      <c r="C254" s="48">
        <v>3.8391637445659986E-6</v>
      </c>
      <c r="D254" s="46" t="s">
        <v>52</v>
      </c>
    </row>
    <row r="255" spans="1:4" x14ac:dyDescent="0.2">
      <c r="A255" s="13" t="s">
        <v>29</v>
      </c>
      <c r="B255" s="19">
        <v>927.51300000000003</v>
      </c>
      <c r="C255" s="48">
        <v>7.7072659093171679E-6</v>
      </c>
      <c r="D255" s="46" t="s">
        <v>52</v>
      </c>
    </row>
    <row r="256" spans="1:4" x14ac:dyDescent="0.2">
      <c r="A256" s="13" t="s">
        <v>29</v>
      </c>
      <c r="B256" s="19">
        <v>1030.57</v>
      </c>
      <c r="C256" s="48">
        <v>1.0234554605488756E-5</v>
      </c>
      <c r="D256" s="46" t="s">
        <v>52</v>
      </c>
    </row>
    <row r="257" spans="1:4" x14ac:dyDescent="0.2">
      <c r="A257" s="13" t="s">
        <v>29</v>
      </c>
      <c r="B257" s="19">
        <v>1030.57</v>
      </c>
      <c r="C257" s="48">
        <v>1.011880092474807E-5</v>
      </c>
      <c r="D257" s="46" t="s">
        <v>52</v>
      </c>
    </row>
    <row r="258" spans="1:4" x14ac:dyDescent="0.2">
      <c r="A258" s="13" t="s">
        <v>29</v>
      </c>
      <c r="B258" s="19">
        <v>1236.684</v>
      </c>
      <c r="C258" s="48">
        <v>1.4131595190425094E-5</v>
      </c>
      <c r="D258" s="46" t="s">
        <v>52</v>
      </c>
    </row>
    <row r="259" spans="1:4" x14ac:dyDescent="0.2">
      <c r="A259" s="13" t="s">
        <v>29</v>
      </c>
      <c r="B259" s="19">
        <v>1236.684</v>
      </c>
      <c r="C259" s="48">
        <v>1.2183074897956926E-5</v>
      </c>
      <c r="D259" s="46" t="s">
        <v>52</v>
      </c>
    </row>
    <row r="260" spans="1:4" x14ac:dyDescent="0.2">
      <c r="A260" s="13" t="s">
        <v>29</v>
      </c>
      <c r="B260" s="19">
        <v>1442.7979999999998</v>
      </c>
      <c r="C260" s="48">
        <v>1.8617050319126576E-5</v>
      </c>
      <c r="D260" s="46" t="s">
        <v>52</v>
      </c>
    </row>
    <row r="261" spans="1:4" x14ac:dyDescent="0.2">
      <c r="A261" s="13" t="s">
        <v>29</v>
      </c>
      <c r="B261" s="19">
        <v>1442.7979999999998</v>
      </c>
      <c r="C261" s="48">
        <v>1.3996549229560965E-5</v>
      </c>
      <c r="D261" s="46" t="s">
        <v>52</v>
      </c>
    </row>
    <row r="262" spans="1:4" x14ac:dyDescent="0.2">
      <c r="A262" s="13" t="s">
        <v>29</v>
      </c>
      <c r="B262" s="19">
        <v>1648.9119999999998</v>
      </c>
      <c r="C262" s="48">
        <v>2.3932073493136287E-5</v>
      </c>
      <c r="D262" s="46" t="s">
        <v>52</v>
      </c>
    </row>
    <row r="263" spans="1:4" x14ac:dyDescent="0.2">
      <c r="A263" s="13" t="s">
        <v>29</v>
      </c>
      <c r="B263" s="19">
        <v>1648.9119999999998</v>
      </c>
      <c r="C263" s="48">
        <v>2.3063920887581162E-5</v>
      </c>
      <c r="D263" s="46" t="s">
        <v>52</v>
      </c>
    </row>
    <row r="264" spans="1:4" x14ac:dyDescent="0.2">
      <c r="A264" s="13" t="s">
        <v>29</v>
      </c>
      <c r="B264" s="19">
        <v>1855.0260000000001</v>
      </c>
      <c r="C264" s="48">
        <v>2.9218158246960827E-5</v>
      </c>
      <c r="D264" s="46" t="s">
        <v>52</v>
      </c>
    </row>
    <row r="265" spans="1:4" x14ac:dyDescent="0.2">
      <c r="A265" s="13" t="s">
        <v>29</v>
      </c>
      <c r="B265" s="19">
        <v>1855.0260000000001</v>
      </c>
      <c r="C265" s="48">
        <v>2.6256793248011681E-5</v>
      </c>
      <c r="D265" s="46" t="s">
        <v>52</v>
      </c>
    </row>
    <row r="266" spans="1:4" x14ac:dyDescent="0.2">
      <c r="A266" s="13" t="s">
        <v>29</v>
      </c>
      <c r="B266" s="19">
        <v>2061.14</v>
      </c>
      <c r="C266" s="48">
        <v>3.662639381436456E-5</v>
      </c>
      <c r="D266" s="46" t="s">
        <v>52</v>
      </c>
    </row>
    <row r="267" spans="1:4" x14ac:dyDescent="0.2">
      <c r="A267" s="13" t="s">
        <v>29</v>
      </c>
      <c r="B267" s="19">
        <v>2061.14</v>
      </c>
      <c r="C267" s="48">
        <v>2.5031733460172783E-5</v>
      </c>
      <c r="D267" s="46" t="s">
        <v>52</v>
      </c>
    </row>
    <row r="268" spans="1:4" x14ac:dyDescent="0.2">
      <c r="A268" s="13" t="s">
        <v>29</v>
      </c>
      <c r="B268" s="19">
        <v>2267.2539999999999</v>
      </c>
      <c r="C268" s="48">
        <v>4.2848154154176295E-5</v>
      </c>
      <c r="D268" s="46" t="s">
        <v>52</v>
      </c>
    </row>
    <row r="269" spans="1:4" x14ac:dyDescent="0.2">
      <c r="A269" s="13" t="s">
        <v>29</v>
      </c>
      <c r="B269" s="19">
        <v>2267.2539999999999</v>
      </c>
      <c r="C269" s="48">
        <v>2.9005943165602911E-5</v>
      </c>
      <c r="D269" s="46" t="s">
        <v>52</v>
      </c>
    </row>
    <row r="270" spans="1:4" x14ac:dyDescent="0.2">
      <c r="A270" s="13" t="s">
        <v>29</v>
      </c>
      <c r="B270" s="19">
        <v>2679.4819999999995</v>
      </c>
      <c r="C270" s="48">
        <v>4.2471954691769074E-5</v>
      </c>
      <c r="D270" s="46" t="s">
        <v>52</v>
      </c>
    </row>
    <row r="271" spans="1:4" x14ac:dyDescent="0.2">
      <c r="A271" s="13" t="s">
        <v>29</v>
      </c>
      <c r="B271" s="19">
        <v>2679.4819999999995</v>
      </c>
      <c r="C271" s="48">
        <v>3.2999445151156483E-5</v>
      </c>
      <c r="D271" s="46" t="s">
        <v>52</v>
      </c>
    </row>
    <row r="272" spans="1:4" x14ac:dyDescent="0.2">
      <c r="A272" s="13" t="s">
        <v>29</v>
      </c>
      <c r="B272" s="19">
        <v>3091.7099999999996</v>
      </c>
      <c r="C272" s="48">
        <v>5.6304519540280733E-5</v>
      </c>
      <c r="D272" s="46" t="s">
        <v>52</v>
      </c>
    </row>
    <row r="273" spans="1:4" x14ac:dyDescent="0.2">
      <c r="A273" s="13" t="s">
        <v>29</v>
      </c>
      <c r="B273" s="19">
        <v>3091.7099999999996</v>
      </c>
      <c r="C273" s="48">
        <v>4.7015286660840894E-5</v>
      </c>
      <c r="D273" s="46" t="s">
        <v>52</v>
      </c>
    </row>
    <row r="274" spans="1:4" x14ac:dyDescent="0.2">
      <c r="A274" s="13" t="s">
        <v>29</v>
      </c>
      <c r="B274" s="19">
        <v>3503.9379999999996</v>
      </c>
      <c r="C274" s="48">
        <v>7.7680365917060271E-5</v>
      </c>
      <c r="D274" s="46" t="s">
        <v>52</v>
      </c>
    </row>
    <row r="275" spans="1:4" x14ac:dyDescent="0.2">
      <c r="A275" s="13" t="s">
        <v>29</v>
      </c>
      <c r="B275" s="19">
        <v>3503.9379999999996</v>
      </c>
      <c r="C275" s="48">
        <v>6.40889545700917E-5</v>
      </c>
      <c r="D275" s="46" t="s">
        <v>52</v>
      </c>
    </row>
    <row r="276" spans="1:4" x14ac:dyDescent="0.2">
      <c r="A276" s="13" t="s">
        <v>29</v>
      </c>
      <c r="B276" s="19">
        <v>3916.1659999999997</v>
      </c>
      <c r="C276" s="48">
        <v>9.4946956627545525E-5</v>
      </c>
      <c r="D276" s="46" t="s">
        <v>52</v>
      </c>
    </row>
    <row r="277" spans="1:4" x14ac:dyDescent="0.2">
      <c r="A277" s="13" t="s">
        <v>29</v>
      </c>
      <c r="B277" s="19">
        <v>3916.1659999999997</v>
      </c>
      <c r="C277" s="48">
        <v>6.845865601805249E-5</v>
      </c>
      <c r="D277" s="46" t="s">
        <v>52</v>
      </c>
    </row>
    <row r="278" spans="1:4" x14ac:dyDescent="0.2">
      <c r="A278" s="13" t="s">
        <v>29</v>
      </c>
      <c r="B278" s="19">
        <v>4328.3939999999993</v>
      </c>
      <c r="C278" s="48">
        <v>9.3625435439089393E-5</v>
      </c>
      <c r="D278" s="46" t="s">
        <v>52</v>
      </c>
    </row>
    <row r="279" spans="1:4" x14ac:dyDescent="0.2">
      <c r="A279" s="13" t="s">
        <v>29</v>
      </c>
      <c r="B279" s="19">
        <v>4328.3939999999993</v>
      </c>
      <c r="C279" s="48">
        <v>7.7506735395949255E-5</v>
      </c>
      <c r="D279" s="46" t="s">
        <v>52</v>
      </c>
    </row>
    <row r="280" spans="1:4" x14ac:dyDescent="0.2">
      <c r="A280" s="13" t="s">
        <v>29</v>
      </c>
      <c r="B280" s="19">
        <v>4740.6219999999994</v>
      </c>
      <c r="C280" s="48">
        <v>1.0585674103735496E-4</v>
      </c>
      <c r="D280" s="46" t="s">
        <v>52</v>
      </c>
    </row>
    <row r="281" spans="1:4" x14ac:dyDescent="0.2">
      <c r="A281" s="13" t="s">
        <v>29</v>
      </c>
      <c r="B281" s="19">
        <v>4740.6219999999994</v>
      </c>
      <c r="C281" s="48">
        <v>8.9496887492671691E-5</v>
      </c>
      <c r="D281" s="46" t="s">
        <v>52</v>
      </c>
    </row>
    <row r="282" spans="1:4" x14ac:dyDescent="0.2">
      <c r="A282" s="13" t="s">
        <v>29</v>
      </c>
      <c r="B282" s="19">
        <v>5152.8500000000004</v>
      </c>
      <c r="C282" s="48">
        <v>1.1501092795593065E-4</v>
      </c>
      <c r="D282" s="46" t="s">
        <v>52</v>
      </c>
    </row>
    <row r="283" spans="1:4" ht="16" x14ac:dyDescent="0.2">
      <c r="A283" s="13" t="s">
        <v>29</v>
      </c>
      <c r="B283" s="19">
        <v>5152.8500000000004</v>
      </c>
      <c r="C283" s="49">
        <v>9.951922701680254E-5</v>
      </c>
      <c r="D283" s="46" t="s">
        <v>52</v>
      </c>
    </row>
    <row r="284" spans="1:4" x14ac:dyDescent="0.2">
      <c r="A284" s="13" t="s">
        <v>29</v>
      </c>
      <c r="B284" s="19">
        <v>0</v>
      </c>
      <c r="C284" s="48">
        <v>3.4368271751229848E-6</v>
      </c>
      <c r="D284" s="46" t="s">
        <v>53</v>
      </c>
    </row>
    <row r="285" spans="1:4" x14ac:dyDescent="0.2">
      <c r="A285" s="13" t="s">
        <v>29</v>
      </c>
      <c r="B285" s="19">
        <v>51.528499999999994</v>
      </c>
      <c r="C285" s="48">
        <v>3.3621135408811806E-6</v>
      </c>
      <c r="D285" s="46" t="s">
        <v>53</v>
      </c>
    </row>
    <row r="286" spans="1:4" x14ac:dyDescent="0.2">
      <c r="A286" s="13" t="s">
        <v>29</v>
      </c>
      <c r="B286" s="19">
        <v>103.05699999999999</v>
      </c>
      <c r="C286" s="48">
        <v>3.683382168120938E-6</v>
      </c>
      <c r="D286" s="46" t="s">
        <v>53</v>
      </c>
    </row>
    <row r="287" spans="1:4" x14ac:dyDescent="0.2">
      <c r="A287" s="13" t="s">
        <v>29</v>
      </c>
      <c r="B287" s="19">
        <v>103.05699999999999</v>
      </c>
      <c r="C287" s="48">
        <v>3.4816553556680667E-6</v>
      </c>
      <c r="D287" s="46" t="s">
        <v>53</v>
      </c>
    </row>
    <row r="288" spans="1:4" x14ac:dyDescent="0.2">
      <c r="A288" s="13" t="s">
        <v>29</v>
      </c>
      <c r="B288" s="19">
        <v>154.5855</v>
      </c>
      <c r="C288" s="48">
        <v>3.4069417214262625E-6</v>
      </c>
      <c r="D288" s="46" t="s">
        <v>53</v>
      </c>
    </row>
    <row r="289" spans="1:4" x14ac:dyDescent="0.2">
      <c r="A289" s="13" t="s">
        <v>29</v>
      </c>
      <c r="B289" s="19">
        <v>154.5855</v>
      </c>
      <c r="C289" s="48">
        <v>3.4442985385471648E-6</v>
      </c>
      <c r="D289" s="46" t="s">
        <v>53</v>
      </c>
    </row>
    <row r="290" spans="1:4" x14ac:dyDescent="0.2">
      <c r="A290" s="13" t="s">
        <v>29</v>
      </c>
      <c r="B290" s="19">
        <v>206.11399999999998</v>
      </c>
      <c r="C290" s="48">
        <v>3.5787830801824119E-6</v>
      </c>
      <c r="D290" s="46" t="s">
        <v>53</v>
      </c>
    </row>
    <row r="291" spans="1:4" x14ac:dyDescent="0.2">
      <c r="A291" s="13" t="s">
        <v>29</v>
      </c>
      <c r="B291" s="19">
        <v>206.11399999999998</v>
      </c>
      <c r="C291" s="48">
        <v>3.9523512513914325E-6</v>
      </c>
      <c r="D291" s="46" t="s">
        <v>53</v>
      </c>
    </row>
    <row r="292" spans="1:4" x14ac:dyDescent="0.2">
      <c r="A292" s="13" t="s">
        <v>29</v>
      </c>
      <c r="B292" s="19">
        <v>309.17099999999999</v>
      </c>
      <c r="C292" s="48">
        <v>3.6609680778483966E-6</v>
      </c>
      <c r="D292" s="46" t="s">
        <v>53</v>
      </c>
    </row>
    <row r="293" spans="1:4" x14ac:dyDescent="0.2">
      <c r="A293" s="13" t="s">
        <v>29</v>
      </c>
      <c r="B293" s="19">
        <v>309.17099999999999</v>
      </c>
      <c r="C293" s="48">
        <v>3.6310826241516747E-6</v>
      </c>
      <c r="D293" s="46" t="s">
        <v>53</v>
      </c>
    </row>
    <row r="294" spans="1:4" x14ac:dyDescent="0.2">
      <c r="A294" s="13" t="s">
        <v>29</v>
      </c>
      <c r="B294" s="19">
        <v>412.22799999999995</v>
      </c>
      <c r="C294" s="48">
        <v>4.7816725914754571E-6</v>
      </c>
      <c r="D294" s="46" t="s">
        <v>53</v>
      </c>
    </row>
    <row r="295" spans="1:4" x14ac:dyDescent="0.2">
      <c r="A295" s="13" t="s">
        <v>29</v>
      </c>
      <c r="B295" s="19">
        <v>412.22799999999995</v>
      </c>
      <c r="C295" s="48">
        <v>3.8477521634529069E-6</v>
      </c>
      <c r="D295" s="46" t="s">
        <v>53</v>
      </c>
    </row>
    <row r="296" spans="1:4" x14ac:dyDescent="0.2">
      <c r="A296" s="13" t="s">
        <v>29</v>
      </c>
      <c r="B296" s="19">
        <v>515.28499999999997</v>
      </c>
      <c r="C296" s="48">
        <v>4.4828180545082402E-6</v>
      </c>
      <c r="D296" s="46" t="s">
        <v>53</v>
      </c>
    </row>
    <row r="297" spans="1:4" x14ac:dyDescent="0.2">
      <c r="A297" s="13" t="s">
        <v>29</v>
      </c>
      <c r="B297" s="19">
        <v>515.28499999999997</v>
      </c>
      <c r="C297" s="48">
        <v>4.0270648856332363E-6</v>
      </c>
      <c r="D297" s="46" t="s">
        <v>53</v>
      </c>
    </row>
    <row r="298" spans="1:4" x14ac:dyDescent="0.2">
      <c r="A298" s="13" t="s">
        <v>29</v>
      </c>
      <c r="B298" s="19">
        <v>618.34199999999998</v>
      </c>
      <c r="C298" s="48">
        <v>4.1914348809652056E-6</v>
      </c>
      <c r="D298" s="46" t="s">
        <v>53</v>
      </c>
    </row>
    <row r="299" spans="1:4" x14ac:dyDescent="0.2">
      <c r="A299" s="13" t="s">
        <v>29</v>
      </c>
      <c r="B299" s="19">
        <v>618.34199999999998</v>
      </c>
      <c r="C299" s="48">
        <v>4.3558048762971732E-6</v>
      </c>
      <c r="D299" s="46" t="s">
        <v>53</v>
      </c>
    </row>
    <row r="300" spans="1:4" x14ac:dyDescent="0.2">
      <c r="A300" s="13" t="s">
        <v>29</v>
      </c>
      <c r="B300" s="19">
        <v>721.39899999999989</v>
      </c>
      <c r="C300" s="48">
        <v>4.9012144062623428E-6</v>
      </c>
      <c r="D300" s="46" t="s">
        <v>53</v>
      </c>
    </row>
    <row r="301" spans="1:4" x14ac:dyDescent="0.2">
      <c r="A301" s="13" t="s">
        <v>29</v>
      </c>
      <c r="B301" s="19">
        <v>721.39899999999989</v>
      </c>
      <c r="C301" s="48">
        <v>4.8190294085963585E-6</v>
      </c>
      <c r="D301" s="46" t="s">
        <v>53</v>
      </c>
    </row>
    <row r="302" spans="1:4" x14ac:dyDescent="0.2">
      <c r="A302" s="13" t="s">
        <v>29</v>
      </c>
      <c r="B302" s="19">
        <v>824.4559999999999</v>
      </c>
      <c r="C302" s="48">
        <v>5.5512230241660379E-6</v>
      </c>
      <c r="D302" s="46" t="s">
        <v>53</v>
      </c>
    </row>
    <row r="303" spans="1:4" x14ac:dyDescent="0.2">
      <c r="A303" s="13" t="s">
        <v>29</v>
      </c>
      <c r="B303" s="19">
        <v>824.4559999999999</v>
      </c>
      <c r="C303" s="48">
        <v>4.8937430428381631E-6</v>
      </c>
      <c r="D303" s="46" t="s">
        <v>53</v>
      </c>
    </row>
    <row r="304" spans="1:4" x14ac:dyDescent="0.2">
      <c r="A304" s="13" t="s">
        <v>29</v>
      </c>
      <c r="B304" s="19">
        <v>927.51300000000003</v>
      </c>
      <c r="C304" s="48">
        <v>4.4081044202664365E-6</v>
      </c>
      <c r="D304" s="46" t="s">
        <v>53</v>
      </c>
    </row>
    <row r="305" spans="1:4" x14ac:dyDescent="0.2">
      <c r="A305" s="13" t="s">
        <v>29</v>
      </c>
      <c r="B305" s="19">
        <v>927.51300000000003</v>
      </c>
      <c r="C305" s="48">
        <v>4.4828180545082402E-6</v>
      </c>
      <c r="D305" s="46" t="s">
        <v>53</v>
      </c>
    </row>
    <row r="306" spans="1:4" x14ac:dyDescent="0.2">
      <c r="A306" s="13" t="s">
        <v>29</v>
      </c>
      <c r="B306" s="19">
        <v>1030.57</v>
      </c>
      <c r="C306" s="48">
        <v>6.0144475564652232E-6</v>
      </c>
      <c r="D306" s="46" t="s">
        <v>53</v>
      </c>
    </row>
    <row r="307" spans="1:4" x14ac:dyDescent="0.2">
      <c r="A307" s="13" t="s">
        <v>29</v>
      </c>
      <c r="B307" s="19">
        <v>1030.57</v>
      </c>
      <c r="C307" s="48">
        <v>6.0144475564652232E-6</v>
      </c>
      <c r="D307" s="46" t="s">
        <v>53</v>
      </c>
    </row>
    <row r="308" spans="1:4" x14ac:dyDescent="0.2">
      <c r="A308" s="13" t="s">
        <v>29</v>
      </c>
      <c r="B308" s="19">
        <v>1236.684</v>
      </c>
      <c r="C308" s="48">
        <v>7.3144647922726127E-6</v>
      </c>
      <c r="D308" s="46" t="s">
        <v>53</v>
      </c>
    </row>
    <row r="309" spans="1:4" x14ac:dyDescent="0.2">
      <c r="A309" s="13" t="s">
        <v>29</v>
      </c>
      <c r="B309" s="19">
        <v>1236.684</v>
      </c>
      <c r="C309" s="48">
        <v>7.9794161370246696E-6</v>
      </c>
      <c r="D309" s="46" t="s">
        <v>53</v>
      </c>
    </row>
    <row r="310" spans="1:4" x14ac:dyDescent="0.2">
      <c r="A310" s="13" t="s">
        <v>29</v>
      </c>
      <c r="B310" s="19">
        <v>1442.7979999999998</v>
      </c>
      <c r="C310" s="48">
        <v>8.9058652016230385E-6</v>
      </c>
      <c r="D310" s="46" t="s">
        <v>53</v>
      </c>
    </row>
    <row r="311" spans="1:4" x14ac:dyDescent="0.2">
      <c r="A311" s="13" t="s">
        <v>29</v>
      </c>
      <c r="B311" s="19">
        <v>1442.7979999999998</v>
      </c>
      <c r="C311" s="48">
        <v>9.8323142662214074E-6</v>
      </c>
      <c r="D311" s="46" t="s">
        <v>53</v>
      </c>
    </row>
    <row r="312" spans="1:4" x14ac:dyDescent="0.2">
      <c r="A312" s="13" t="s">
        <v>29</v>
      </c>
      <c r="B312" s="19">
        <v>1648.9119999999998</v>
      </c>
      <c r="C312" s="48">
        <v>1.0078869259219363E-5</v>
      </c>
      <c r="D312" s="46" t="s">
        <v>53</v>
      </c>
    </row>
    <row r="313" spans="1:4" x14ac:dyDescent="0.2">
      <c r="A313" s="13" t="s">
        <v>29</v>
      </c>
      <c r="B313" s="19">
        <v>1648.9119999999998</v>
      </c>
      <c r="C313" s="48">
        <v>1.0870833782182483E-5</v>
      </c>
      <c r="D313" s="46" t="s">
        <v>53</v>
      </c>
    </row>
    <row r="314" spans="1:4" x14ac:dyDescent="0.2">
      <c r="A314" s="13" t="s">
        <v>29</v>
      </c>
      <c r="B314" s="19">
        <v>1855.0260000000001</v>
      </c>
      <c r="C314" s="48">
        <v>1.2977758267801357E-5</v>
      </c>
      <c r="D314" s="46" t="s">
        <v>53</v>
      </c>
    </row>
    <row r="315" spans="1:4" x14ac:dyDescent="0.2">
      <c r="A315" s="13" t="s">
        <v>29</v>
      </c>
      <c r="B315" s="19">
        <v>1855.0260000000001</v>
      </c>
      <c r="C315" s="48">
        <v>1.3597881432008332E-5</v>
      </c>
      <c r="D315" s="46" t="s">
        <v>53</v>
      </c>
    </row>
    <row r="316" spans="1:4" x14ac:dyDescent="0.2">
      <c r="A316" s="13" t="s">
        <v>29</v>
      </c>
      <c r="B316" s="19">
        <v>2061.14</v>
      </c>
      <c r="C316" s="48">
        <v>1.5338709109842366E-5</v>
      </c>
      <c r="D316" s="46" t="s">
        <v>53</v>
      </c>
    </row>
    <row r="317" spans="1:4" x14ac:dyDescent="0.2">
      <c r="A317" s="13" t="s">
        <v>29</v>
      </c>
      <c r="B317" s="19">
        <v>2061.14</v>
      </c>
      <c r="C317" s="48">
        <v>1.286568781643865E-5</v>
      </c>
      <c r="D317" s="46" t="s">
        <v>53</v>
      </c>
    </row>
    <row r="318" spans="1:4" x14ac:dyDescent="0.2">
      <c r="A318" s="13" t="s">
        <v>29</v>
      </c>
      <c r="B318" s="19">
        <v>2267.2539999999999</v>
      </c>
      <c r="C318" s="48">
        <v>1.8454267657725593E-5</v>
      </c>
      <c r="D318" s="46" t="s">
        <v>53</v>
      </c>
    </row>
    <row r="319" spans="1:4" x14ac:dyDescent="0.2">
      <c r="A319" s="13" t="s">
        <v>29</v>
      </c>
      <c r="B319" s="19">
        <v>2267.2539999999999</v>
      </c>
      <c r="C319" s="48">
        <v>1.9545086717655931E-5</v>
      </c>
      <c r="D319" s="46" t="s">
        <v>53</v>
      </c>
    </row>
    <row r="320" spans="1:4" x14ac:dyDescent="0.2">
      <c r="A320" s="13" t="s">
        <v>29</v>
      </c>
      <c r="B320" s="19">
        <v>2679.4819999999995</v>
      </c>
      <c r="C320" s="48">
        <v>1.5107096843692768E-5</v>
      </c>
      <c r="D320" s="46" t="s">
        <v>53</v>
      </c>
    </row>
    <row r="321" spans="1:4" x14ac:dyDescent="0.2">
      <c r="A321" s="13" t="s">
        <v>29</v>
      </c>
      <c r="B321" s="19">
        <v>2679.4819999999995</v>
      </c>
      <c r="C321" s="48">
        <v>1.4031220510610793E-5</v>
      </c>
      <c r="D321" s="46" t="s">
        <v>53</v>
      </c>
    </row>
    <row r="322" spans="1:4" x14ac:dyDescent="0.2">
      <c r="A322" s="13" t="s">
        <v>29</v>
      </c>
      <c r="B322" s="19">
        <v>3091.7099999999996</v>
      </c>
      <c r="C322" s="48">
        <v>2.4797455204854747E-5</v>
      </c>
      <c r="D322" s="46" t="s">
        <v>53</v>
      </c>
    </row>
    <row r="323" spans="1:4" x14ac:dyDescent="0.2">
      <c r="A323" s="13" t="s">
        <v>29</v>
      </c>
      <c r="B323" s="19">
        <v>3091.7099999999996</v>
      </c>
      <c r="C323" s="48">
        <v>1.8842778555782974E-5</v>
      </c>
      <c r="D323" s="46" t="s">
        <v>53</v>
      </c>
    </row>
    <row r="324" spans="1:4" x14ac:dyDescent="0.2">
      <c r="A324" s="13" t="s">
        <v>29</v>
      </c>
      <c r="B324" s="19">
        <v>3503.9379999999996</v>
      </c>
      <c r="C324" s="48">
        <v>3.2351003626701142E-5</v>
      </c>
      <c r="D324" s="46" t="s">
        <v>53</v>
      </c>
    </row>
    <row r="325" spans="1:4" x14ac:dyDescent="0.2">
      <c r="A325" s="13" t="s">
        <v>29</v>
      </c>
      <c r="B325" s="19">
        <v>3503.9379999999996</v>
      </c>
      <c r="C325" s="48">
        <v>3.9067759345039325E-5</v>
      </c>
      <c r="D325" s="46" t="s">
        <v>53</v>
      </c>
    </row>
    <row r="326" spans="1:4" x14ac:dyDescent="0.2">
      <c r="A326" s="13" t="s">
        <v>29</v>
      </c>
      <c r="B326" s="19">
        <v>3916.1659999999997</v>
      </c>
      <c r="C326" s="48">
        <v>3.8507407088225789E-5</v>
      </c>
      <c r="D326" s="46" t="s">
        <v>53</v>
      </c>
    </row>
    <row r="327" spans="1:4" x14ac:dyDescent="0.2">
      <c r="A327" s="13" t="s">
        <v>29</v>
      </c>
      <c r="B327" s="19">
        <v>3916.1659999999997</v>
      </c>
      <c r="C327" s="48">
        <v>2.8779691909942904E-5</v>
      </c>
      <c r="D327" s="46" t="s">
        <v>53</v>
      </c>
    </row>
    <row r="328" spans="1:4" x14ac:dyDescent="0.2">
      <c r="A328" s="13" t="s">
        <v>29</v>
      </c>
      <c r="B328" s="19">
        <v>4328.3939999999993</v>
      </c>
      <c r="C328" s="48">
        <v>6.4806606341340786E-5</v>
      </c>
      <c r="D328" s="46" t="s">
        <v>53</v>
      </c>
    </row>
    <row r="329" spans="1:4" x14ac:dyDescent="0.2">
      <c r="A329" s="13" t="s">
        <v>29</v>
      </c>
      <c r="B329" s="19">
        <v>4328.3939999999993</v>
      </c>
      <c r="C329" s="48">
        <v>3.8948217530252431E-5</v>
      </c>
      <c r="D329" s="46" t="s">
        <v>53</v>
      </c>
    </row>
    <row r="330" spans="1:4" x14ac:dyDescent="0.2">
      <c r="A330" s="13" t="s">
        <v>29</v>
      </c>
      <c r="B330" s="19">
        <v>4740.6219999999994</v>
      </c>
      <c r="C330" s="48">
        <v>5.7611683363855067E-5</v>
      </c>
      <c r="D330" s="46" t="s">
        <v>53</v>
      </c>
    </row>
    <row r="331" spans="1:4" x14ac:dyDescent="0.2">
      <c r="A331" s="13" t="s">
        <v>29</v>
      </c>
      <c r="B331" s="19">
        <v>4740.6219999999994</v>
      </c>
      <c r="C331" s="48">
        <v>3.6945892132572087E-5</v>
      </c>
      <c r="D331" s="46" t="s">
        <v>53</v>
      </c>
    </row>
    <row r="332" spans="1:4" x14ac:dyDescent="0.2">
      <c r="A332" s="13" t="s">
        <v>29</v>
      </c>
      <c r="B332" s="19">
        <v>5152.8500000000004</v>
      </c>
      <c r="C332" s="48">
        <v>4.606095551007217E-5</v>
      </c>
      <c r="D332" s="46" t="s">
        <v>53</v>
      </c>
    </row>
    <row r="333" spans="1:4" ht="16" x14ac:dyDescent="0.2">
      <c r="A333" s="13" t="s">
        <v>29</v>
      </c>
      <c r="B333" s="19">
        <v>5152.8500000000004</v>
      </c>
      <c r="C333" s="49">
        <v>4.7039704118639806E-5</v>
      </c>
      <c r="D333" s="46" t="s">
        <v>53</v>
      </c>
    </row>
    <row r="334" spans="1:4" x14ac:dyDescent="0.2">
      <c r="A334" s="13" t="s">
        <v>29</v>
      </c>
      <c r="B334" s="19">
        <v>0</v>
      </c>
      <c r="C334" s="48">
        <v>6.8660016679527039E-6</v>
      </c>
      <c r="D334" s="46" t="s">
        <v>57</v>
      </c>
    </row>
    <row r="335" spans="1:4" x14ac:dyDescent="0.2">
      <c r="A335" s="13" t="s">
        <v>29</v>
      </c>
      <c r="B335" s="19">
        <v>51.528499999999994</v>
      </c>
      <c r="C335" s="48">
        <v>0</v>
      </c>
      <c r="D335" s="46" t="s">
        <v>57</v>
      </c>
    </row>
    <row r="336" spans="1:4" x14ac:dyDescent="0.2">
      <c r="A336" s="13" t="s">
        <v>29</v>
      </c>
      <c r="B336" s="19">
        <v>103.05699999999999</v>
      </c>
      <c r="C336" s="48">
        <v>1.3712716814366216E-5</v>
      </c>
      <c r="D336" s="46" t="s">
        <v>57</v>
      </c>
    </row>
    <row r="337" spans="1:4" x14ac:dyDescent="0.2">
      <c r="A337" s="13" t="s">
        <v>29</v>
      </c>
      <c r="B337" s="19">
        <v>103.05699999999999</v>
      </c>
      <c r="C337" s="48">
        <v>4.4358999540143875E-6</v>
      </c>
      <c r="D337" s="46" t="s">
        <v>57</v>
      </c>
    </row>
    <row r="338" spans="1:4" x14ac:dyDescent="0.2">
      <c r="A338" s="13" t="s">
        <v>29</v>
      </c>
      <c r="B338" s="19">
        <v>154.5855</v>
      </c>
      <c r="C338" s="48">
        <v>1.4156306809767657E-5</v>
      </c>
      <c r="D338" s="46" t="s">
        <v>57</v>
      </c>
    </row>
    <row r="339" spans="1:4" x14ac:dyDescent="0.2">
      <c r="A339" s="13" t="s">
        <v>29</v>
      </c>
      <c r="B339" s="19">
        <v>154.5855</v>
      </c>
      <c r="C339" s="48">
        <v>9.488968597282951E-6</v>
      </c>
      <c r="D339" s="46" t="s">
        <v>57</v>
      </c>
    </row>
    <row r="340" spans="1:4" x14ac:dyDescent="0.2">
      <c r="A340" s="13" t="s">
        <v>29</v>
      </c>
      <c r="B340" s="19">
        <v>206.11399999999998</v>
      </c>
      <c r="C340" s="48">
        <v>1.6152461789074133E-5</v>
      </c>
      <c r="D340" s="46" t="s">
        <v>57</v>
      </c>
    </row>
    <row r="341" spans="1:4" x14ac:dyDescent="0.2">
      <c r="A341" s="13" t="s">
        <v>29</v>
      </c>
      <c r="B341" s="19">
        <v>206.11399999999998</v>
      </c>
      <c r="C341" s="48">
        <v>1.2526595739705849E-5</v>
      </c>
      <c r="D341" s="46" t="s">
        <v>57</v>
      </c>
    </row>
    <row r="342" spans="1:4" x14ac:dyDescent="0.2">
      <c r="A342" s="13" t="s">
        <v>29</v>
      </c>
      <c r="B342" s="19">
        <v>309.17099999999999</v>
      </c>
      <c r="C342" s="48">
        <v>3.2912449006632838E-5</v>
      </c>
      <c r="D342" s="46" t="s">
        <v>57</v>
      </c>
    </row>
    <row r="343" spans="1:4" x14ac:dyDescent="0.2">
      <c r="A343" s="13" t="s">
        <v>29</v>
      </c>
      <c r="B343" s="19">
        <v>309.17099999999999</v>
      </c>
      <c r="C343" s="48">
        <v>2.3616345624741821E-5</v>
      </c>
      <c r="D343" s="46" t="s">
        <v>57</v>
      </c>
    </row>
    <row r="344" spans="1:4" x14ac:dyDescent="0.2">
      <c r="A344" s="13" t="s">
        <v>29</v>
      </c>
      <c r="B344" s="19">
        <v>412.22799999999995</v>
      </c>
      <c r="C344" s="48">
        <v>5.0684978604999185E-5</v>
      </c>
      <c r="D344" s="46" t="s">
        <v>57</v>
      </c>
    </row>
    <row r="345" spans="1:4" x14ac:dyDescent="0.2">
      <c r="A345" s="13" t="s">
        <v>29</v>
      </c>
      <c r="B345" s="19">
        <v>412.22799999999995</v>
      </c>
      <c r="C345" s="48">
        <v>3.4445727468998682E-5</v>
      </c>
      <c r="D345" s="46" t="s">
        <v>57</v>
      </c>
    </row>
    <row r="346" spans="1:4" x14ac:dyDescent="0.2">
      <c r="A346" s="13" t="s">
        <v>29</v>
      </c>
      <c r="B346" s="19">
        <v>515.28499999999997</v>
      </c>
      <c r="C346" s="48">
        <v>6.5554886711716967E-5</v>
      </c>
      <c r="D346" s="46" t="s">
        <v>57</v>
      </c>
    </row>
    <row r="347" spans="1:4" x14ac:dyDescent="0.2">
      <c r="A347" s="13" t="s">
        <v>29</v>
      </c>
      <c r="B347" s="19">
        <v>515.28499999999997</v>
      </c>
      <c r="C347" s="48">
        <v>5.1302147294253357E-5</v>
      </c>
      <c r="D347" s="46" t="s">
        <v>57</v>
      </c>
    </row>
    <row r="348" spans="1:4" x14ac:dyDescent="0.2">
      <c r="A348" s="13" t="s">
        <v>29</v>
      </c>
      <c r="B348" s="19">
        <v>618.34199999999998</v>
      </c>
      <c r="C348" s="48">
        <v>8.36360006547104E-5</v>
      </c>
      <c r="D348" s="46" t="s">
        <v>57</v>
      </c>
    </row>
    <row r="349" spans="1:4" x14ac:dyDescent="0.2">
      <c r="A349" s="13" t="s">
        <v>29</v>
      </c>
      <c r="B349" s="19">
        <v>618.34199999999998</v>
      </c>
      <c r="C349" s="48">
        <v>7.3134489676619831E-5</v>
      </c>
      <c r="D349" s="46" t="s">
        <v>57</v>
      </c>
    </row>
    <row r="350" spans="1:4" x14ac:dyDescent="0.2">
      <c r="A350" s="13" t="s">
        <v>29</v>
      </c>
      <c r="B350" s="19">
        <v>721.39899999999989</v>
      </c>
      <c r="C350" s="48">
        <v>9.7425863555233394E-5</v>
      </c>
      <c r="D350" s="46" t="s">
        <v>57</v>
      </c>
    </row>
    <row r="351" spans="1:4" x14ac:dyDescent="0.2">
      <c r="A351" s="13" t="s">
        <v>29</v>
      </c>
      <c r="B351" s="19">
        <v>721.39899999999989</v>
      </c>
      <c r="C351" s="48">
        <v>1.0243071589465396E-4</v>
      </c>
      <c r="D351" s="46" t="s">
        <v>57</v>
      </c>
    </row>
    <row r="352" spans="1:4" x14ac:dyDescent="0.2">
      <c r="A352" s="13" t="s">
        <v>29</v>
      </c>
      <c r="B352" s="19">
        <v>824.4559999999999</v>
      </c>
      <c r="C352" s="48">
        <v>1.1597949727593704E-4</v>
      </c>
      <c r="D352" s="46" t="s">
        <v>57</v>
      </c>
    </row>
    <row r="353" spans="1:4" x14ac:dyDescent="0.2">
      <c r="A353" s="13" t="s">
        <v>29</v>
      </c>
      <c r="B353" s="19">
        <v>824.4559999999999</v>
      </c>
      <c r="C353" s="48">
        <v>1.0280680306466824E-4</v>
      </c>
      <c r="D353" s="46" t="s">
        <v>57</v>
      </c>
    </row>
    <row r="354" spans="1:4" x14ac:dyDescent="0.2">
      <c r="A354" s="13" t="s">
        <v>29</v>
      </c>
      <c r="B354" s="19">
        <v>927.51300000000003</v>
      </c>
      <c r="C354" s="48">
        <v>4.4185420846291136E-5</v>
      </c>
      <c r="D354" s="46" t="s">
        <v>57</v>
      </c>
    </row>
    <row r="355" spans="1:4" x14ac:dyDescent="0.2">
      <c r="A355" s="13" t="s">
        <v>29</v>
      </c>
      <c r="B355" s="19">
        <v>927.51300000000003</v>
      </c>
      <c r="C355" s="48">
        <v>1.317848016773057E-4</v>
      </c>
      <c r="D355" s="46" t="s">
        <v>57</v>
      </c>
    </row>
    <row r="356" spans="1:4" x14ac:dyDescent="0.2">
      <c r="A356" s="13" t="s">
        <v>29</v>
      </c>
      <c r="B356" s="19">
        <v>1030.57</v>
      </c>
      <c r="C356" s="48">
        <v>1.4709829977942496E-4</v>
      </c>
      <c r="D356" s="46" t="s">
        <v>57</v>
      </c>
    </row>
    <row r="357" spans="1:4" x14ac:dyDescent="0.2">
      <c r="A357" s="13" t="s">
        <v>29</v>
      </c>
      <c r="B357" s="19">
        <v>1030.57</v>
      </c>
      <c r="C357" s="48">
        <v>1.5098453386957231E-4</v>
      </c>
      <c r="D357" s="46" t="s">
        <v>57</v>
      </c>
    </row>
    <row r="358" spans="1:4" x14ac:dyDescent="0.2">
      <c r="A358" s="13" t="s">
        <v>29</v>
      </c>
      <c r="B358" s="19">
        <v>1236.684</v>
      </c>
      <c r="C358" s="48">
        <v>1.8624029524321709E-4</v>
      </c>
      <c r="D358" s="46" t="s">
        <v>57</v>
      </c>
    </row>
    <row r="359" spans="1:4" x14ac:dyDescent="0.2">
      <c r="A359" s="13" t="s">
        <v>29</v>
      </c>
      <c r="B359" s="19">
        <v>1236.684</v>
      </c>
      <c r="C359" s="48">
        <v>1.8247942354307449E-4</v>
      </c>
      <c r="D359" s="46" t="s">
        <v>57</v>
      </c>
    </row>
    <row r="360" spans="1:4" x14ac:dyDescent="0.2">
      <c r="A360" s="13" t="s">
        <v>29</v>
      </c>
      <c r="B360" s="19">
        <v>1442.7979999999998</v>
      </c>
      <c r="C360" s="48">
        <v>2.3505448125891456E-4</v>
      </c>
      <c r="D360" s="46" t="s">
        <v>57</v>
      </c>
    </row>
    <row r="361" spans="1:4" x14ac:dyDescent="0.2">
      <c r="A361" s="13" t="s">
        <v>29</v>
      </c>
      <c r="B361" s="19">
        <v>1442.7979999999998</v>
      </c>
      <c r="C361" s="48">
        <v>2.5189161456263002E-4</v>
      </c>
      <c r="D361" s="46" t="s">
        <v>57</v>
      </c>
    </row>
    <row r="362" spans="1:4" x14ac:dyDescent="0.2">
      <c r="A362" s="13" t="s">
        <v>29</v>
      </c>
      <c r="B362" s="19">
        <v>1648.9119999999998</v>
      </c>
      <c r="C362" s="48">
        <v>2.7986671405522948E-4</v>
      </c>
      <c r="D362" s="46" t="s">
        <v>57</v>
      </c>
    </row>
    <row r="363" spans="1:4" x14ac:dyDescent="0.2">
      <c r="A363" s="13" t="s">
        <v>29</v>
      </c>
      <c r="B363" s="19">
        <v>1648.9119999999998</v>
      </c>
      <c r="C363" s="48">
        <v>3.1426422522038019E-4</v>
      </c>
      <c r="D363" s="46" t="s">
        <v>57</v>
      </c>
    </row>
    <row r="364" spans="1:4" x14ac:dyDescent="0.2">
      <c r="A364" s="13" t="s">
        <v>29</v>
      </c>
      <c r="B364" s="19">
        <v>1855.0260000000001</v>
      </c>
      <c r="C364" s="48">
        <v>3.1720541975510712E-4</v>
      </c>
      <c r="D364" s="46" t="s">
        <v>57</v>
      </c>
    </row>
    <row r="365" spans="1:4" x14ac:dyDescent="0.2">
      <c r="A365" s="13" t="s">
        <v>29</v>
      </c>
      <c r="B365" s="19">
        <v>1855.0260000000001</v>
      </c>
      <c r="C365" s="48">
        <v>3.2839160224783909E-4</v>
      </c>
      <c r="D365" s="46" t="s">
        <v>57</v>
      </c>
    </row>
    <row r="366" spans="1:4" x14ac:dyDescent="0.2">
      <c r="A366" s="13" t="s">
        <v>29</v>
      </c>
      <c r="B366" s="19">
        <v>2061.14</v>
      </c>
      <c r="C366" s="48">
        <v>3.5865215454283284E-4</v>
      </c>
      <c r="D366" s="46" t="s">
        <v>57</v>
      </c>
    </row>
    <row r="367" spans="1:4" x14ac:dyDescent="0.2">
      <c r="A367" s="13" t="s">
        <v>29</v>
      </c>
      <c r="B367" s="19">
        <v>2061.14</v>
      </c>
      <c r="C367" s="48">
        <v>3.29037700719402E-4</v>
      </c>
      <c r="D367" s="46" t="s">
        <v>57</v>
      </c>
    </row>
    <row r="368" spans="1:4" x14ac:dyDescent="0.2">
      <c r="A368" s="13" t="s">
        <v>29</v>
      </c>
      <c r="B368" s="19">
        <v>2267.2539999999999</v>
      </c>
      <c r="C368" s="48">
        <v>3.9203712332717592E-4</v>
      </c>
      <c r="D368" s="46" t="s">
        <v>57</v>
      </c>
    </row>
    <row r="369" spans="1:4" x14ac:dyDescent="0.2">
      <c r="A369" s="13" t="s">
        <v>29</v>
      </c>
      <c r="B369" s="19">
        <v>2267.2539999999999</v>
      </c>
      <c r="C369" s="48">
        <v>3.399152988675069E-4</v>
      </c>
      <c r="D369" s="46" t="s">
        <v>57</v>
      </c>
    </row>
    <row r="370" spans="1:4" x14ac:dyDescent="0.2">
      <c r="A370" s="13" t="s">
        <v>29</v>
      </c>
      <c r="B370" s="19">
        <v>2679.4819999999995</v>
      </c>
      <c r="C370" s="48">
        <v>3.5918253388516068E-4</v>
      </c>
      <c r="D370" s="46" t="s">
        <v>57</v>
      </c>
    </row>
    <row r="371" spans="1:4" x14ac:dyDescent="0.2">
      <c r="A371" s="13" t="s">
        <v>29</v>
      </c>
      <c r="B371" s="19">
        <v>2679.4819999999995</v>
      </c>
      <c r="C371" s="48">
        <v>3.6418738622458121E-4</v>
      </c>
      <c r="D371" s="46" t="s">
        <v>57</v>
      </c>
    </row>
    <row r="372" spans="1:4" x14ac:dyDescent="0.2">
      <c r="A372" s="13" t="s">
        <v>29</v>
      </c>
      <c r="B372" s="19">
        <v>3091.7099999999996</v>
      </c>
      <c r="C372" s="48">
        <v>3.7639575435889037E-4</v>
      </c>
      <c r="D372" s="46" t="s">
        <v>57</v>
      </c>
    </row>
    <row r="373" spans="1:4" x14ac:dyDescent="0.2">
      <c r="A373" s="13" t="s">
        <v>29</v>
      </c>
      <c r="B373" s="19">
        <v>3091.7099999999996</v>
      </c>
      <c r="C373" s="48">
        <v>3.7642468414119919E-4</v>
      </c>
      <c r="D373" s="46" t="s">
        <v>57</v>
      </c>
    </row>
    <row r="374" spans="1:4" x14ac:dyDescent="0.2">
      <c r="A374" s="13" t="s">
        <v>29</v>
      </c>
      <c r="B374" s="19">
        <v>3503.9379999999996</v>
      </c>
      <c r="C374" s="48">
        <v>3.7896086172360308E-4</v>
      </c>
      <c r="D374" s="46" t="s">
        <v>57</v>
      </c>
    </row>
    <row r="375" spans="1:4" x14ac:dyDescent="0.2">
      <c r="A375" s="13" t="s">
        <v>29</v>
      </c>
      <c r="B375" s="19">
        <v>3503.9379999999996</v>
      </c>
      <c r="C375" s="48">
        <v>3.5981898909595399E-4</v>
      </c>
      <c r="D375" s="46" t="s">
        <v>57</v>
      </c>
    </row>
    <row r="376" spans="1:4" x14ac:dyDescent="0.2">
      <c r="A376" s="13" t="s">
        <v>29</v>
      </c>
      <c r="B376" s="19">
        <v>3916.1659999999997</v>
      </c>
      <c r="C376" s="48">
        <v>3.6438989470074281E-4</v>
      </c>
      <c r="D376" s="46" t="s">
        <v>57</v>
      </c>
    </row>
    <row r="377" spans="1:4" x14ac:dyDescent="0.2">
      <c r="A377" s="13" t="s">
        <v>29</v>
      </c>
      <c r="B377" s="19">
        <v>3916.1659999999997</v>
      </c>
      <c r="C377" s="48">
        <v>3.3759127302203411E-4</v>
      </c>
      <c r="D377" s="46" t="s">
        <v>57</v>
      </c>
    </row>
    <row r="378" spans="1:4" x14ac:dyDescent="0.2">
      <c r="A378" s="13" t="s">
        <v>29</v>
      </c>
      <c r="B378" s="19">
        <v>4328.3939999999993</v>
      </c>
      <c r="C378" s="48">
        <v>3.3228747959875607E-4</v>
      </c>
      <c r="D378" s="46" t="s">
        <v>57</v>
      </c>
    </row>
    <row r="379" spans="1:4" x14ac:dyDescent="0.2">
      <c r="A379" s="13" t="s">
        <v>29</v>
      </c>
      <c r="B379" s="19">
        <v>4328.3939999999993</v>
      </c>
      <c r="C379" s="48">
        <v>3.3230676612029517E-4</v>
      </c>
      <c r="D379" s="46" t="s">
        <v>57</v>
      </c>
    </row>
    <row r="380" spans="1:4" x14ac:dyDescent="0.2">
      <c r="A380" s="13" t="s">
        <v>29</v>
      </c>
      <c r="B380" s="19">
        <v>4740.6219999999994</v>
      </c>
      <c r="C380" s="48">
        <v>3.1430279826345856E-4</v>
      </c>
      <c r="D380" s="46" t="s">
        <v>57</v>
      </c>
    </row>
    <row r="381" spans="1:4" x14ac:dyDescent="0.2">
      <c r="A381" s="13" t="s">
        <v>29</v>
      </c>
      <c r="B381" s="19">
        <v>4740.6219999999994</v>
      </c>
      <c r="C381" s="48">
        <v>3.1871941169593382E-4</v>
      </c>
      <c r="D381" s="46" t="s">
        <v>57</v>
      </c>
    </row>
    <row r="382" spans="1:4" x14ac:dyDescent="0.2">
      <c r="A382" s="13" t="s">
        <v>29</v>
      </c>
      <c r="B382" s="19">
        <v>5152.8500000000004</v>
      </c>
      <c r="C382" s="48">
        <v>3.3031061114098873E-4</v>
      </c>
      <c r="D382" s="46" t="s">
        <v>57</v>
      </c>
    </row>
    <row r="383" spans="1:4" ht="16" x14ac:dyDescent="0.2">
      <c r="A383" s="13" t="s">
        <v>29</v>
      </c>
      <c r="B383" s="19">
        <v>5152.8500000000004</v>
      </c>
      <c r="C383" s="49">
        <v>3.213809516683424E-4</v>
      </c>
      <c r="D383" s="46" t="s">
        <v>57</v>
      </c>
    </row>
    <row r="384" spans="1:4" x14ac:dyDescent="0.2">
      <c r="A384" s="13" t="s">
        <v>29</v>
      </c>
      <c r="B384" s="19">
        <v>0</v>
      </c>
      <c r="C384" s="45">
        <v>0</v>
      </c>
      <c r="D384" s="46" t="s">
        <v>42</v>
      </c>
    </row>
    <row r="385" spans="1:4" x14ac:dyDescent="0.2">
      <c r="A385" s="13" t="s">
        <v>29</v>
      </c>
      <c r="B385" s="19">
        <v>51.528499999999994</v>
      </c>
      <c r="C385" s="45">
        <v>0</v>
      </c>
      <c r="D385" s="46" t="s">
        <v>42</v>
      </c>
    </row>
    <row r="386" spans="1:4" x14ac:dyDescent="0.2">
      <c r="A386" s="13" t="s">
        <v>29</v>
      </c>
      <c r="B386" s="19">
        <v>103.05699999999999</v>
      </c>
      <c r="C386" s="45">
        <v>0</v>
      </c>
      <c r="D386" s="46" t="s">
        <v>42</v>
      </c>
    </row>
    <row r="387" spans="1:4" x14ac:dyDescent="0.2">
      <c r="A387" s="13" t="s">
        <v>29</v>
      </c>
      <c r="B387" s="19">
        <v>103.05699999999999</v>
      </c>
      <c r="C387" s="45">
        <v>1.8844136819746576E-6</v>
      </c>
      <c r="D387" s="46" t="s">
        <v>42</v>
      </c>
    </row>
    <row r="388" spans="1:4" x14ac:dyDescent="0.2">
      <c r="A388" s="13" t="s">
        <v>29</v>
      </c>
      <c r="B388" s="19">
        <v>154.5855</v>
      </c>
      <c r="C388" s="45">
        <v>4.1722181205595846E-4</v>
      </c>
      <c r="D388" s="46" t="s">
        <v>42</v>
      </c>
    </row>
    <row r="389" spans="1:4" x14ac:dyDescent="0.2">
      <c r="A389" s="13" t="s">
        <v>29</v>
      </c>
      <c r="B389" s="19">
        <v>154.5855</v>
      </c>
      <c r="C389" s="45">
        <v>3.393747894235699E-4</v>
      </c>
      <c r="D389" s="46" t="s">
        <v>42</v>
      </c>
    </row>
    <row r="390" spans="1:4" x14ac:dyDescent="0.2">
      <c r="A390" s="13" t="s">
        <v>29</v>
      </c>
      <c r="B390" s="19">
        <v>206.11399999999998</v>
      </c>
      <c r="C390" s="45">
        <v>4.8417710393320152E-5</v>
      </c>
      <c r="D390" s="46" t="s">
        <v>42</v>
      </c>
    </row>
    <row r="391" spans="1:4" x14ac:dyDescent="0.2">
      <c r="A391" s="13" t="s">
        <v>29</v>
      </c>
      <c r="B391" s="19">
        <v>206.11399999999998</v>
      </c>
      <c r="C391" s="45">
        <v>4.2259554676627854E-5</v>
      </c>
      <c r="D391" s="46" t="s">
        <v>42</v>
      </c>
    </row>
    <row r="392" spans="1:4" x14ac:dyDescent="0.2">
      <c r="A392" s="13" t="s">
        <v>29</v>
      </c>
      <c r="B392" s="19">
        <v>309.17099999999999</v>
      </c>
      <c r="C392" s="45">
        <v>1.30971259063942E-4</v>
      </c>
      <c r="D392" s="46" t="s">
        <v>42</v>
      </c>
    </row>
    <row r="393" spans="1:4" x14ac:dyDescent="0.2">
      <c r="A393" s="13" t="s">
        <v>29</v>
      </c>
      <c r="B393" s="19">
        <v>309.17099999999999</v>
      </c>
      <c r="C393" s="45">
        <v>1.3070978539515124E-4</v>
      </c>
      <c r="D393" s="46" t="s">
        <v>42</v>
      </c>
    </row>
    <row r="394" spans="1:4" x14ac:dyDescent="0.2">
      <c r="A394" s="13" t="s">
        <v>29</v>
      </c>
      <c r="B394" s="19">
        <v>412.22799999999995</v>
      </c>
      <c r="C394" s="45">
        <v>2.4179101296418375E-4</v>
      </c>
      <c r="D394" s="46" t="s">
        <v>42</v>
      </c>
    </row>
    <row r="395" spans="1:4" x14ac:dyDescent="0.2">
      <c r="A395" s="13" t="s">
        <v>29</v>
      </c>
      <c r="B395" s="19">
        <v>412.22799999999995</v>
      </c>
      <c r="C395" s="45">
        <v>1.9963063795502823E-4</v>
      </c>
      <c r="D395" s="46" t="s">
        <v>42</v>
      </c>
    </row>
    <row r="396" spans="1:4" x14ac:dyDescent="0.2">
      <c r="A396" s="13" t="s">
        <v>29</v>
      </c>
      <c r="B396" s="19">
        <v>515.28499999999997</v>
      </c>
      <c r="C396" s="45">
        <v>3.3363138504358022E-4</v>
      </c>
      <c r="D396" s="46" t="s">
        <v>42</v>
      </c>
    </row>
    <row r="397" spans="1:4" x14ac:dyDescent="0.2">
      <c r="A397" s="13" t="s">
        <v>29</v>
      </c>
      <c r="B397" s="19">
        <v>515.28499999999997</v>
      </c>
      <c r="C397" s="45">
        <v>3.113700578627408E-4</v>
      </c>
      <c r="D397" s="46" t="s">
        <v>42</v>
      </c>
    </row>
    <row r="398" spans="1:4" x14ac:dyDescent="0.2">
      <c r="A398" s="13" t="s">
        <v>29</v>
      </c>
      <c r="B398" s="19">
        <v>618.34199999999998</v>
      </c>
      <c r="C398" s="45">
        <v>4.0967514099465326E-4</v>
      </c>
      <c r="D398" s="46" t="s">
        <v>42</v>
      </c>
    </row>
    <row r="399" spans="1:4" x14ac:dyDescent="0.2">
      <c r="A399" s="13" t="s">
        <v>29</v>
      </c>
      <c r="B399" s="19">
        <v>618.34199999999998</v>
      </c>
      <c r="C399" s="45">
        <v>4.059964769647697E-4</v>
      </c>
      <c r="D399" s="46" t="s">
        <v>42</v>
      </c>
    </row>
    <row r="400" spans="1:4" x14ac:dyDescent="0.2">
      <c r="A400" s="13" t="s">
        <v>29</v>
      </c>
      <c r="B400" s="19">
        <v>721.39899999999989</v>
      </c>
      <c r="C400" s="45">
        <v>4.5135765033326022E-4</v>
      </c>
      <c r="D400" s="46" t="s">
        <v>42</v>
      </c>
    </row>
    <row r="401" spans="1:4" x14ac:dyDescent="0.2">
      <c r="A401" s="13" t="s">
        <v>29</v>
      </c>
      <c r="B401" s="19">
        <v>721.39899999999989</v>
      </c>
      <c r="C401" s="45">
        <v>5.2108095656632251E-4</v>
      </c>
      <c r="D401" s="46" t="s">
        <v>42</v>
      </c>
    </row>
    <row r="402" spans="1:4" x14ac:dyDescent="0.2">
      <c r="A402" s="13" t="s">
        <v>29</v>
      </c>
      <c r="B402" s="19">
        <v>824.4559999999999</v>
      </c>
      <c r="C402" s="45">
        <v>4.6630673112136526E-4</v>
      </c>
      <c r="D402" s="46" t="s">
        <v>42</v>
      </c>
    </row>
    <row r="403" spans="1:4" x14ac:dyDescent="0.2">
      <c r="A403" s="13" t="s">
        <v>29</v>
      </c>
      <c r="B403" s="19">
        <v>824.4559999999999</v>
      </c>
      <c r="C403" s="45">
        <v>4.7400667985058231E-4</v>
      </c>
      <c r="D403" s="46" t="s">
        <v>42</v>
      </c>
    </row>
    <row r="404" spans="1:4" x14ac:dyDescent="0.2">
      <c r="A404" s="13" t="s">
        <v>29</v>
      </c>
      <c r="B404" s="19">
        <v>927.51300000000003</v>
      </c>
      <c r="C404" s="45">
        <v>2.1559856441807663E-4</v>
      </c>
      <c r="D404" s="46" t="s">
        <v>42</v>
      </c>
    </row>
    <row r="405" spans="1:4" x14ac:dyDescent="0.2">
      <c r="A405" s="13" t="s">
        <v>29</v>
      </c>
      <c r="B405" s="19">
        <v>927.51300000000003</v>
      </c>
      <c r="C405" s="45">
        <v>5.2756370028565161E-4</v>
      </c>
      <c r="D405" s="46" t="s">
        <v>42</v>
      </c>
    </row>
    <row r="406" spans="1:4" x14ac:dyDescent="0.2">
      <c r="A406" s="13" t="s">
        <v>29</v>
      </c>
      <c r="B406" s="19">
        <v>1030.57</v>
      </c>
      <c r="C406" s="45">
        <v>4.7867714055518939E-4</v>
      </c>
      <c r="D406" s="46" t="s">
        <v>42</v>
      </c>
    </row>
    <row r="407" spans="1:4" x14ac:dyDescent="0.2">
      <c r="A407" s="13" t="s">
        <v>29</v>
      </c>
      <c r="B407" s="19">
        <v>1030.57</v>
      </c>
      <c r="C407" s="45">
        <v>5.177088478722626E-4</v>
      </c>
      <c r="D407" s="46" t="s">
        <v>42</v>
      </c>
    </row>
    <row r="408" spans="1:4" x14ac:dyDescent="0.2">
      <c r="A408" s="13" t="s">
        <v>29</v>
      </c>
      <c r="B408" s="19">
        <v>1236.684</v>
      </c>
      <c r="C408" s="45">
        <v>4.4591178495568737E-4</v>
      </c>
      <c r="D408" s="46" t="s">
        <v>42</v>
      </c>
    </row>
    <row r="409" spans="1:4" x14ac:dyDescent="0.2">
      <c r="A409" s="13" t="s">
        <v>29</v>
      </c>
      <c r="B409" s="19">
        <v>1236.684</v>
      </c>
      <c r="C409" s="45">
        <v>4.7224849483629974E-4</v>
      </c>
      <c r="D409" s="46" t="s">
        <v>42</v>
      </c>
    </row>
    <row r="410" spans="1:4" x14ac:dyDescent="0.2">
      <c r="A410" s="13" t="s">
        <v>29</v>
      </c>
      <c r="B410" s="19">
        <v>1442.7979999999998</v>
      </c>
      <c r="C410" s="45">
        <v>4.2455209111550579E-4</v>
      </c>
      <c r="D410" s="46" t="s">
        <v>42</v>
      </c>
    </row>
    <row r="411" spans="1:4" x14ac:dyDescent="0.2">
      <c r="A411" s="13" t="s">
        <v>29</v>
      </c>
      <c r="B411" s="19">
        <v>1442.7979999999998</v>
      </c>
      <c r="C411" s="45">
        <v>4.4627243829195058E-4</v>
      </c>
      <c r="D411" s="46" t="s">
        <v>42</v>
      </c>
    </row>
    <row r="412" spans="1:4" x14ac:dyDescent="0.2">
      <c r="A412" s="13" t="s">
        <v>29</v>
      </c>
      <c r="B412" s="19">
        <v>1648.9119999999998</v>
      </c>
      <c r="C412" s="45">
        <v>4.1901606240386731E-4</v>
      </c>
      <c r="D412" s="46" t="s">
        <v>42</v>
      </c>
    </row>
    <row r="413" spans="1:4" x14ac:dyDescent="0.2">
      <c r="A413" s="13" t="s">
        <v>29</v>
      </c>
      <c r="B413" s="19">
        <v>1648.9119999999998</v>
      </c>
      <c r="C413" s="45">
        <v>5.2263176591225372E-4</v>
      </c>
      <c r="D413" s="46" t="s">
        <v>42</v>
      </c>
    </row>
    <row r="414" spans="1:4" x14ac:dyDescent="0.2">
      <c r="A414" s="13" t="s">
        <v>29</v>
      </c>
      <c r="B414" s="19">
        <v>1855.0260000000001</v>
      </c>
      <c r="C414" s="45">
        <v>4.5117732366512853E-4</v>
      </c>
      <c r="D414" s="46" t="s">
        <v>42</v>
      </c>
    </row>
    <row r="415" spans="1:4" x14ac:dyDescent="0.2">
      <c r="A415" s="13" t="s">
        <v>29</v>
      </c>
      <c r="B415" s="19">
        <v>1855.0260000000001</v>
      </c>
      <c r="C415" s="45">
        <v>4.5137568300007317E-4</v>
      </c>
      <c r="D415" s="46" t="s">
        <v>42</v>
      </c>
    </row>
    <row r="416" spans="1:4" x14ac:dyDescent="0.2">
      <c r="A416" s="13" t="s">
        <v>29</v>
      </c>
      <c r="B416" s="19">
        <v>2061.14</v>
      </c>
      <c r="C416" s="45">
        <v>4.4638965062623599E-4</v>
      </c>
      <c r="D416" s="46" t="s">
        <v>42</v>
      </c>
    </row>
    <row r="417" spans="1:4" x14ac:dyDescent="0.2">
      <c r="A417" s="13" t="s">
        <v>29</v>
      </c>
      <c r="B417" s="19">
        <v>2061.14</v>
      </c>
      <c r="C417" s="45">
        <v>3.9707030689225815E-4</v>
      </c>
      <c r="D417" s="46" t="s">
        <v>42</v>
      </c>
    </row>
    <row r="418" spans="1:4" x14ac:dyDescent="0.2">
      <c r="A418" s="13" t="s">
        <v>29</v>
      </c>
      <c r="B418" s="19">
        <v>2267.2539999999999</v>
      </c>
      <c r="C418" s="45">
        <v>4.7355586318025353E-4</v>
      </c>
      <c r="D418" s="46" t="s">
        <v>42</v>
      </c>
    </row>
    <row r="419" spans="1:4" x14ac:dyDescent="0.2">
      <c r="A419" s="13" t="s">
        <v>29</v>
      </c>
      <c r="B419" s="19">
        <v>2267.2539999999999</v>
      </c>
      <c r="C419" s="45">
        <v>4.1720377938914529E-4</v>
      </c>
      <c r="D419" s="46" t="s">
        <v>42</v>
      </c>
    </row>
    <row r="420" spans="1:4" x14ac:dyDescent="0.2">
      <c r="A420" s="13" t="s">
        <v>29</v>
      </c>
      <c r="B420" s="19">
        <v>2679.4819999999995</v>
      </c>
      <c r="C420" s="45">
        <v>3.9861209990478286E-4</v>
      </c>
      <c r="D420" s="46" t="s">
        <v>42</v>
      </c>
    </row>
    <row r="421" spans="1:4" x14ac:dyDescent="0.2">
      <c r="A421" s="13" t="s">
        <v>29</v>
      </c>
      <c r="B421" s="19">
        <v>2679.4819999999995</v>
      </c>
      <c r="C421" s="45">
        <v>4.083858053175127E-4</v>
      </c>
      <c r="D421" s="46" t="s">
        <v>42</v>
      </c>
    </row>
    <row r="422" spans="1:4" x14ac:dyDescent="0.2">
      <c r="A422" s="13" t="s">
        <v>29</v>
      </c>
      <c r="B422" s="19">
        <v>3091.7099999999996</v>
      </c>
      <c r="C422" s="45">
        <v>3.920752581850143E-4</v>
      </c>
      <c r="D422" s="46" t="s">
        <v>42</v>
      </c>
    </row>
    <row r="423" spans="1:4" x14ac:dyDescent="0.2">
      <c r="A423" s="13" t="s">
        <v>29</v>
      </c>
      <c r="B423" s="19">
        <v>3091.7099999999996</v>
      </c>
      <c r="C423" s="45">
        <v>3.9891865524060652E-4</v>
      </c>
      <c r="D423" s="46" t="s">
        <v>42</v>
      </c>
    </row>
    <row r="424" spans="1:4" x14ac:dyDescent="0.2">
      <c r="A424" s="13" t="s">
        <v>29</v>
      </c>
      <c r="B424" s="19">
        <v>3503.9379999999996</v>
      </c>
      <c r="C424" s="45">
        <v>4.308364754998902E-4</v>
      </c>
      <c r="D424" s="46" t="s">
        <v>42</v>
      </c>
    </row>
    <row r="425" spans="1:4" x14ac:dyDescent="0.2">
      <c r="A425" s="13" t="s">
        <v>29</v>
      </c>
      <c r="B425" s="19">
        <v>3503.9379999999996</v>
      </c>
      <c r="C425" s="45">
        <v>4.2099063941990775E-4</v>
      </c>
      <c r="D425" s="46" t="s">
        <v>42</v>
      </c>
    </row>
    <row r="426" spans="1:4" x14ac:dyDescent="0.2">
      <c r="A426" s="13" t="s">
        <v>29</v>
      </c>
      <c r="B426" s="19">
        <v>3916.1659999999997</v>
      </c>
      <c r="C426" s="45">
        <v>4.1576116604409287E-4</v>
      </c>
      <c r="D426" s="46" t="s">
        <v>42</v>
      </c>
    </row>
    <row r="427" spans="1:4" x14ac:dyDescent="0.2">
      <c r="A427" s="13" t="s">
        <v>29</v>
      </c>
      <c r="B427" s="19">
        <v>3916.1659999999997</v>
      </c>
      <c r="C427" s="45">
        <v>3.8924412949534903E-4</v>
      </c>
      <c r="D427" s="46" t="s">
        <v>42</v>
      </c>
    </row>
    <row r="428" spans="1:4" x14ac:dyDescent="0.2">
      <c r="A428" s="13" t="s">
        <v>29</v>
      </c>
      <c r="B428" s="19">
        <v>4328.3939999999993</v>
      </c>
      <c r="C428" s="45">
        <v>3.7428603237383727E-4</v>
      </c>
      <c r="D428" s="46" t="s">
        <v>42</v>
      </c>
    </row>
    <row r="429" spans="1:4" x14ac:dyDescent="0.2">
      <c r="A429" s="13" t="s">
        <v>29</v>
      </c>
      <c r="B429" s="19">
        <v>4328.3939999999993</v>
      </c>
      <c r="C429" s="45">
        <v>3.8917199882809646E-4</v>
      </c>
      <c r="D429" s="46" t="s">
        <v>42</v>
      </c>
    </row>
    <row r="430" spans="1:4" x14ac:dyDescent="0.2">
      <c r="A430" s="13" t="s">
        <v>29</v>
      </c>
      <c r="B430" s="19">
        <v>4740.6219999999994</v>
      </c>
      <c r="C430" s="45">
        <v>3.6718116164945435E-4</v>
      </c>
      <c r="D430" s="46" t="s">
        <v>42</v>
      </c>
    </row>
    <row r="431" spans="1:4" x14ac:dyDescent="0.2">
      <c r="A431" s="13" t="s">
        <v>29</v>
      </c>
      <c r="B431" s="19">
        <v>4740.6219999999994</v>
      </c>
      <c r="C431" s="45">
        <v>3.9389655753314289E-4</v>
      </c>
      <c r="D431" s="46" t="s">
        <v>42</v>
      </c>
    </row>
    <row r="432" spans="1:4" x14ac:dyDescent="0.2">
      <c r="A432" s="13" t="s">
        <v>29</v>
      </c>
      <c r="B432" s="19">
        <v>5152.8500000000004</v>
      </c>
      <c r="C432" s="45">
        <v>3.9615064088478725E-4</v>
      </c>
      <c r="D432" s="46" t="s">
        <v>42</v>
      </c>
    </row>
    <row r="433" spans="1:4" ht="16" x14ac:dyDescent="0.2">
      <c r="A433" s="13" t="s">
        <v>29</v>
      </c>
      <c r="B433" s="19">
        <v>5152.8500000000004</v>
      </c>
      <c r="C433" s="49">
        <v>4.1476035303596279E-4</v>
      </c>
      <c r="D433" s="46" t="s">
        <v>42</v>
      </c>
    </row>
    <row r="434" spans="1:4" x14ac:dyDescent="0.2">
      <c r="A434" s="13" t="s">
        <v>29</v>
      </c>
      <c r="B434" s="19">
        <v>0</v>
      </c>
      <c r="C434" s="45">
        <v>9.5057236616171254E-7</v>
      </c>
      <c r="D434" s="46" t="s">
        <v>51</v>
      </c>
    </row>
    <row r="435" spans="1:4" x14ac:dyDescent="0.2">
      <c r="A435" s="13" t="s">
        <v>29</v>
      </c>
      <c r="B435" s="19">
        <v>51.528499999999994</v>
      </c>
      <c r="C435" s="45">
        <v>7.2469378410348374E-7</v>
      </c>
      <c r="D435" s="46" t="s">
        <v>51</v>
      </c>
    </row>
    <row r="436" spans="1:4" x14ac:dyDescent="0.2">
      <c r="A436" s="13" t="s">
        <v>29</v>
      </c>
      <c r="B436" s="19">
        <v>103.05699999999999</v>
      </c>
      <c r="C436" s="46">
        <v>8.8469111306139573E-7</v>
      </c>
      <c r="D436" s="46" t="s">
        <v>51</v>
      </c>
    </row>
    <row r="437" spans="1:4" x14ac:dyDescent="0.2">
      <c r="A437" s="13" t="s">
        <v>29</v>
      </c>
      <c r="B437" s="19">
        <v>103.05699999999999</v>
      </c>
      <c r="C437" s="46">
        <v>8.2822146754683856E-7</v>
      </c>
      <c r="D437" s="46" t="s">
        <v>51</v>
      </c>
    </row>
    <row r="438" spans="1:4" x14ac:dyDescent="0.2">
      <c r="A438" s="13" t="s">
        <v>29</v>
      </c>
      <c r="B438" s="19">
        <v>154.5855</v>
      </c>
      <c r="C438" s="46">
        <v>1.0729232647765863E-6</v>
      </c>
      <c r="D438" s="46" t="s">
        <v>51</v>
      </c>
    </row>
    <row r="439" spans="1:4" x14ac:dyDescent="0.2">
      <c r="A439" s="13" t="s">
        <v>29</v>
      </c>
      <c r="B439" s="19">
        <v>154.5855</v>
      </c>
      <c r="C439" s="46">
        <v>1.0070420116762697E-6</v>
      </c>
      <c r="D439" s="46" t="s">
        <v>51</v>
      </c>
    </row>
    <row r="440" spans="1:4" x14ac:dyDescent="0.2">
      <c r="A440" s="13" t="s">
        <v>29</v>
      </c>
      <c r="B440" s="19">
        <v>206.11399999999998</v>
      </c>
      <c r="C440" s="46">
        <v>1.6658545426794367E-6</v>
      </c>
      <c r="D440" s="46" t="s">
        <v>51</v>
      </c>
    </row>
    <row r="441" spans="1:4" x14ac:dyDescent="0.2">
      <c r="A441" s="13" t="s">
        <v>29</v>
      </c>
      <c r="B441" s="19">
        <v>206.11399999999998</v>
      </c>
      <c r="C441" s="46">
        <v>1.2611554164917769E-6</v>
      </c>
      <c r="D441" s="46" t="s">
        <v>51</v>
      </c>
    </row>
    <row r="442" spans="1:4" x14ac:dyDescent="0.2">
      <c r="A442" s="13" t="s">
        <v>29</v>
      </c>
      <c r="B442" s="19">
        <v>309.17099999999999</v>
      </c>
      <c r="C442" s="46">
        <v>2.1929045674819706E-6</v>
      </c>
      <c r="D442" s="46" t="s">
        <v>51</v>
      </c>
    </row>
    <row r="443" spans="1:4" x14ac:dyDescent="0.2">
      <c r="A443" s="13" t="s">
        <v>29</v>
      </c>
      <c r="B443" s="19">
        <v>309.17099999999999</v>
      </c>
      <c r="C443" s="46">
        <v>1.6470313275079177E-6</v>
      </c>
      <c r="D443" s="46" t="s">
        <v>51</v>
      </c>
    </row>
    <row r="444" spans="1:4" x14ac:dyDescent="0.2">
      <c r="A444" s="13" t="s">
        <v>29</v>
      </c>
      <c r="B444" s="19">
        <v>412.22799999999995</v>
      </c>
      <c r="C444" s="46">
        <v>3.181123363986721E-6</v>
      </c>
      <c r="D444" s="46" t="s">
        <v>51</v>
      </c>
    </row>
    <row r="445" spans="1:4" x14ac:dyDescent="0.2">
      <c r="A445" s="13" t="s">
        <v>29</v>
      </c>
      <c r="B445" s="19">
        <v>412.22799999999995</v>
      </c>
      <c r="C445" s="46">
        <v>2.3152554660968444E-6</v>
      </c>
      <c r="D445" s="46" t="s">
        <v>51</v>
      </c>
    </row>
    <row r="446" spans="1:4" x14ac:dyDescent="0.2">
      <c r="A446" s="13" t="s">
        <v>29</v>
      </c>
      <c r="B446" s="19">
        <v>515.28499999999997</v>
      </c>
      <c r="C446" s="46">
        <v>3.7458198191322928E-6</v>
      </c>
      <c r="D446" s="46" t="s">
        <v>51</v>
      </c>
    </row>
    <row r="447" spans="1:4" x14ac:dyDescent="0.2">
      <c r="A447" s="13" t="s">
        <v>29</v>
      </c>
      <c r="B447" s="19">
        <v>515.28499999999997</v>
      </c>
      <c r="C447" s="46">
        <v>3.3317090853588735E-6</v>
      </c>
      <c r="D447" s="46" t="s">
        <v>51</v>
      </c>
    </row>
    <row r="448" spans="1:4" x14ac:dyDescent="0.2">
      <c r="A448" s="13" t="s">
        <v>29</v>
      </c>
      <c r="B448" s="19">
        <v>618.34199999999998</v>
      </c>
      <c r="C448" s="46">
        <v>5.2516770328538174E-6</v>
      </c>
      <c r="D448" s="46" t="s">
        <v>51</v>
      </c>
    </row>
    <row r="449" spans="1:4" x14ac:dyDescent="0.2">
      <c r="A449" s="13" t="s">
        <v>29</v>
      </c>
      <c r="B449" s="19">
        <v>618.34199999999998</v>
      </c>
      <c r="C449" s="46">
        <v>4.4422787804784977E-6</v>
      </c>
      <c r="D449" s="46" t="s">
        <v>51</v>
      </c>
    </row>
    <row r="450" spans="1:4" x14ac:dyDescent="0.2">
      <c r="A450" s="13" t="s">
        <v>29</v>
      </c>
      <c r="B450" s="19">
        <v>721.39899999999989</v>
      </c>
      <c r="C450" s="46">
        <v>6.3528351203876818E-6</v>
      </c>
      <c r="D450" s="46" t="s">
        <v>51</v>
      </c>
    </row>
    <row r="451" spans="1:4" x14ac:dyDescent="0.2">
      <c r="A451" s="13" t="s">
        <v>29</v>
      </c>
      <c r="B451" s="19">
        <v>721.39899999999989</v>
      </c>
      <c r="C451" s="46">
        <v>5.7693154500705916E-6</v>
      </c>
      <c r="D451" s="46" t="s">
        <v>51</v>
      </c>
    </row>
    <row r="452" spans="1:4" x14ac:dyDescent="0.2">
      <c r="A452" s="13" t="s">
        <v>29</v>
      </c>
      <c r="B452" s="19">
        <v>824.4559999999999</v>
      </c>
      <c r="C452" s="46">
        <v>8.3104494982256655E-6</v>
      </c>
      <c r="D452" s="46" t="s">
        <v>51</v>
      </c>
    </row>
    <row r="453" spans="1:4" x14ac:dyDescent="0.2">
      <c r="A453" s="13" t="s">
        <v>29</v>
      </c>
      <c r="B453" s="19">
        <v>824.4559999999999</v>
      </c>
      <c r="C453" s="46">
        <v>7.2845842713778757E-6</v>
      </c>
      <c r="D453" s="46" t="s">
        <v>51</v>
      </c>
    </row>
    <row r="454" spans="1:4" x14ac:dyDescent="0.2">
      <c r="A454" s="13" t="s">
        <v>29</v>
      </c>
      <c r="B454" s="19">
        <v>927.51300000000003</v>
      </c>
      <c r="C454" s="46">
        <v>3.2281814019155186E-6</v>
      </c>
      <c r="D454" s="46" t="s">
        <v>51</v>
      </c>
    </row>
    <row r="455" spans="1:4" x14ac:dyDescent="0.2">
      <c r="A455" s="13" t="s">
        <v>29</v>
      </c>
      <c r="B455" s="19">
        <v>927.51300000000003</v>
      </c>
      <c r="C455" s="46">
        <v>7.246937841034838E-6</v>
      </c>
      <c r="D455" s="46" t="s">
        <v>51</v>
      </c>
    </row>
    <row r="456" spans="1:4" x14ac:dyDescent="0.2">
      <c r="A456" s="13" t="s">
        <v>29</v>
      </c>
      <c r="B456" s="19">
        <v>1030.57</v>
      </c>
      <c r="C456" s="46">
        <v>9.8539531422902262E-6</v>
      </c>
      <c r="D456" s="46" t="s">
        <v>51</v>
      </c>
    </row>
    <row r="457" spans="1:4" x14ac:dyDescent="0.2">
      <c r="A457" s="13" t="s">
        <v>29</v>
      </c>
      <c r="B457" s="19">
        <v>1030.57</v>
      </c>
      <c r="C457" s="46">
        <v>1.0672763002251304E-5</v>
      </c>
      <c r="D457" s="46" t="s">
        <v>51</v>
      </c>
    </row>
    <row r="458" spans="1:4" x14ac:dyDescent="0.2">
      <c r="A458" s="13" t="s">
        <v>29</v>
      </c>
      <c r="B458" s="19">
        <v>1236.684</v>
      </c>
      <c r="C458" s="46">
        <v>1.3722123860037393E-5</v>
      </c>
      <c r="D458" s="46" t="s">
        <v>51</v>
      </c>
    </row>
    <row r="459" spans="1:4" x14ac:dyDescent="0.2">
      <c r="A459" s="13" t="s">
        <v>29</v>
      </c>
      <c r="B459" s="19">
        <v>1236.684</v>
      </c>
      <c r="C459" s="46">
        <v>1.2244501469073148E-5</v>
      </c>
      <c r="D459" s="46" t="s">
        <v>51</v>
      </c>
    </row>
    <row r="460" spans="1:4" x14ac:dyDescent="0.2">
      <c r="A460" s="13" t="s">
        <v>29</v>
      </c>
      <c r="B460" s="19">
        <v>1442.7979999999998</v>
      </c>
      <c r="C460" s="46">
        <v>1.7947935666043423E-5</v>
      </c>
      <c r="D460" s="46" t="s">
        <v>51</v>
      </c>
    </row>
    <row r="461" spans="1:4" x14ac:dyDescent="0.2">
      <c r="A461" s="13" t="s">
        <v>29</v>
      </c>
      <c r="B461" s="19">
        <v>1442.7979999999998</v>
      </c>
      <c r="C461" s="46">
        <v>1.4879751593085817E-5</v>
      </c>
      <c r="D461" s="46" t="s">
        <v>51</v>
      </c>
    </row>
    <row r="462" spans="1:4" x14ac:dyDescent="0.2">
      <c r="A462" s="13" t="s">
        <v>29</v>
      </c>
      <c r="B462" s="19">
        <v>1648.9119999999998</v>
      </c>
      <c r="C462" s="46">
        <v>2.4874878849162433E-5</v>
      </c>
      <c r="D462" s="46" t="s">
        <v>51</v>
      </c>
    </row>
    <row r="463" spans="1:4" x14ac:dyDescent="0.2">
      <c r="A463" s="13" t="s">
        <v>29</v>
      </c>
      <c r="B463" s="19">
        <v>1648.9119999999998</v>
      </c>
      <c r="C463" s="46">
        <v>2.5721923531880795E-5</v>
      </c>
      <c r="D463" s="46" t="s">
        <v>51</v>
      </c>
    </row>
    <row r="464" spans="1:4" x14ac:dyDescent="0.2">
      <c r="A464" s="13" t="s">
        <v>29</v>
      </c>
      <c r="B464" s="19">
        <v>1855.0260000000001</v>
      </c>
      <c r="C464" s="46">
        <v>2.9307746022055176E-5</v>
      </c>
      <c r="D464" s="46" t="s">
        <v>51</v>
      </c>
    </row>
    <row r="465" spans="1:4" x14ac:dyDescent="0.2">
      <c r="A465" s="13" t="s">
        <v>29</v>
      </c>
      <c r="B465" s="19">
        <v>1855.0260000000001</v>
      </c>
      <c r="C465" s="46">
        <v>3.693114816652039E-5</v>
      </c>
      <c r="D465" s="46" t="s">
        <v>51</v>
      </c>
    </row>
    <row r="466" spans="1:4" x14ac:dyDescent="0.2">
      <c r="A466" s="13" t="s">
        <v>29</v>
      </c>
      <c r="B466" s="19">
        <v>2061.14</v>
      </c>
      <c r="C466" s="46">
        <v>3.9152287556759641E-5</v>
      </c>
      <c r="D466" s="46" t="s">
        <v>51</v>
      </c>
    </row>
    <row r="467" spans="1:4" x14ac:dyDescent="0.2">
      <c r="A467" s="13" t="s">
        <v>29</v>
      </c>
      <c r="B467" s="19">
        <v>2061.14</v>
      </c>
      <c r="C467" s="46">
        <v>2.8733637959323844E-5</v>
      </c>
      <c r="D467" s="46" t="s">
        <v>51</v>
      </c>
    </row>
    <row r="468" spans="1:4" x14ac:dyDescent="0.2">
      <c r="A468" s="13" t="s">
        <v>29</v>
      </c>
      <c r="B468" s="19">
        <v>2267.2539999999999</v>
      </c>
      <c r="C468" s="46">
        <v>4.8065079940473913E-5</v>
      </c>
      <c r="D468" s="46" t="s">
        <v>51</v>
      </c>
    </row>
    <row r="469" spans="1:4" x14ac:dyDescent="0.2">
      <c r="A469" s="13" t="s">
        <v>29</v>
      </c>
      <c r="B469" s="19">
        <v>2267.2539999999999</v>
      </c>
      <c r="C469" s="46">
        <v>3.790995535543939E-5</v>
      </c>
      <c r="D469" s="46" t="s">
        <v>51</v>
      </c>
    </row>
    <row r="470" spans="1:4" x14ac:dyDescent="0.2">
      <c r="A470" s="13" t="s">
        <v>29</v>
      </c>
      <c r="B470" s="19">
        <v>2679.4819999999995</v>
      </c>
      <c r="C470" s="46">
        <v>5.334499179608502E-5</v>
      </c>
      <c r="D470" s="46" t="s">
        <v>51</v>
      </c>
    </row>
    <row r="471" spans="1:4" x14ac:dyDescent="0.2">
      <c r="A471" s="13" t="s">
        <v>29</v>
      </c>
      <c r="B471" s="19">
        <v>2679.4819999999995</v>
      </c>
      <c r="C471" s="46">
        <v>4.860154157286221E-5</v>
      </c>
      <c r="D471" s="46" t="s">
        <v>51</v>
      </c>
    </row>
    <row r="472" spans="1:4" x14ac:dyDescent="0.2">
      <c r="A472" s="13" t="s">
        <v>29</v>
      </c>
      <c r="B472" s="19">
        <v>3091.7099999999996</v>
      </c>
      <c r="C472" s="46">
        <v>7.7241063456328464E-5</v>
      </c>
      <c r="D472" s="46" t="s">
        <v>51</v>
      </c>
    </row>
    <row r="473" spans="1:4" x14ac:dyDescent="0.2">
      <c r="A473" s="13" t="s">
        <v>29</v>
      </c>
      <c r="B473" s="19">
        <v>3091.7099999999996</v>
      </c>
      <c r="C473" s="46">
        <v>5.8069618804136292E-5</v>
      </c>
      <c r="D473" s="46" t="s">
        <v>51</v>
      </c>
    </row>
    <row r="474" spans="1:4" x14ac:dyDescent="0.2">
      <c r="A474" s="13" t="s">
        <v>29</v>
      </c>
      <c r="B474" s="19">
        <v>3503.9379999999996</v>
      </c>
      <c r="C474" s="46">
        <v>1.014665413820735E-4</v>
      </c>
      <c r="D474" s="46" t="s">
        <v>51</v>
      </c>
    </row>
    <row r="475" spans="1:4" x14ac:dyDescent="0.2">
      <c r="A475" s="13" t="s">
        <v>29</v>
      </c>
      <c r="B475" s="19">
        <v>3503.9379999999996</v>
      </c>
      <c r="C475" s="46">
        <v>8.5156225435952237E-5</v>
      </c>
      <c r="D475" s="46" t="s">
        <v>51</v>
      </c>
    </row>
    <row r="476" spans="1:4" x14ac:dyDescent="0.2">
      <c r="A476" s="13" t="s">
        <v>29</v>
      </c>
      <c r="B476" s="19">
        <v>3916.1659999999997</v>
      </c>
      <c r="C476" s="46">
        <v>1.1867096004884193E-4</v>
      </c>
      <c r="D476" s="46" t="s">
        <v>51</v>
      </c>
    </row>
    <row r="477" spans="1:4" x14ac:dyDescent="0.2">
      <c r="A477" s="13" t="s">
        <v>29</v>
      </c>
      <c r="B477" s="19">
        <v>3916.1659999999997</v>
      </c>
      <c r="C477" s="46">
        <v>9.7457196550539935E-5</v>
      </c>
      <c r="D477" s="46" t="s">
        <v>51</v>
      </c>
    </row>
    <row r="478" spans="1:4" x14ac:dyDescent="0.2">
      <c r="A478" s="13" t="s">
        <v>29</v>
      </c>
      <c r="B478" s="19">
        <v>4328.3939999999993</v>
      </c>
      <c r="C478" s="46">
        <v>1.2190855305834318E-4</v>
      </c>
      <c r="D478" s="46" t="s">
        <v>51</v>
      </c>
    </row>
    <row r="479" spans="1:4" x14ac:dyDescent="0.2">
      <c r="A479" s="13" t="s">
        <v>29</v>
      </c>
      <c r="B479" s="19">
        <v>4328.3939999999993</v>
      </c>
      <c r="C479" s="46">
        <v>1.1365457320563208E-4</v>
      </c>
      <c r="D479" s="46" t="s">
        <v>51</v>
      </c>
    </row>
    <row r="480" spans="1:4" x14ac:dyDescent="0.2">
      <c r="A480" s="13" t="s">
        <v>29</v>
      </c>
      <c r="B480" s="19">
        <v>4740.6219999999994</v>
      </c>
      <c r="C480" s="46">
        <v>1.2884490784904795E-4</v>
      </c>
      <c r="D480" s="46" t="s">
        <v>51</v>
      </c>
    </row>
    <row r="481" spans="1:4" x14ac:dyDescent="0.2">
      <c r="A481" s="13" t="s">
        <v>29</v>
      </c>
      <c r="B481" s="19">
        <v>4740.6219999999994</v>
      </c>
      <c r="C481" s="46">
        <v>1.32562492845423E-4</v>
      </c>
      <c r="D481" s="46" t="s">
        <v>51</v>
      </c>
    </row>
    <row r="482" spans="1:4" x14ac:dyDescent="0.2">
      <c r="A482" s="13" t="s">
        <v>29</v>
      </c>
      <c r="B482" s="19">
        <v>5152.8500000000004</v>
      </c>
      <c r="C482" s="46">
        <v>1.4590815240203E-4</v>
      </c>
      <c r="D482" s="46" t="s">
        <v>51</v>
      </c>
    </row>
    <row r="483" spans="1:4" x14ac:dyDescent="0.2">
      <c r="A483" s="13" t="s">
        <v>29</v>
      </c>
      <c r="B483" s="19">
        <v>5152.8500000000004</v>
      </c>
      <c r="C483" s="46">
        <v>1.2793198191322927E-4</v>
      </c>
      <c r="D483" s="46" t="s">
        <v>51</v>
      </c>
    </row>
    <row r="484" spans="1:4" x14ac:dyDescent="0.2">
      <c r="A484" s="13" t="s">
        <v>29</v>
      </c>
      <c r="B484" s="19">
        <v>0</v>
      </c>
      <c r="C484" s="46">
        <v>4.4995573277573804E-6</v>
      </c>
      <c r="D484" s="46" t="s">
        <v>47</v>
      </c>
    </row>
    <row r="485" spans="1:4" x14ac:dyDescent="0.2">
      <c r="A485" s="13" t="s">
        <v>29</v>
      </c>
      <c r="B485" s="19">
        <v>51.528499999999994</v>
      </c>
      <c r="C485" s="46">
        <v>4.1728259865301852E-6</v>
      </c>
      <c r="D485" s="46" t="s">
        <v>47</v>
      </c>
    </row>
    <row r="486" spans="1:4" x14ac:dyDescent="0.2">
      <c r="A486" s="13" t="s">
        <v>29</v>
      </c>
      <c r="B486" s="19">
        <v>103.05699999999999</v>
      </c>
      <c r="C486" s="46">
        <v>6.861358165771109E-6</v>
      </c>
      <c r="D486" s="46" t="s">
        <v>47</v>
      </c>
    </row>
    <row r="487" spans="1:4" x14ac:dyDescent="0.2">
      <c r="A487" s="13" t="s">
        <v>29</v>
      </c>
      <c r="B487" s="19">
        <v>103.05699999999999</v>
      </c>
      <c r="C487" s="46">
        <v>7.6828541094280591E-6</v>
      </c>
      <c r="D487" s="46" t="s">
        <v>47</v>
      </c>
    </row>
    <row r="488" spans="1:4" x14ac:dyDescent="0.2">
      <c r="A488" s="13" t="s">
        <v>29</v>
      </c>
      <c r="B488" s="19">
        <v>154.5855</v>
      </c>
      <c r="C488" s="46">
        <v>4.6395850454261781E-6</v>
      </c>
      <c r="D488" s="46" t="s">
        <v>47</v>
      </c>
    </row>
    <row r="489" spans="1:4" x14ac:dyDescent="0.2">
      <c r="A489" s="13" t="s">
        <v>29</v>
      </c>
      <c r="B489" s="19">
        <v>154.5855</v>
      </c>
      <c r="C489" s="46">
        <v>7.6175078411826206E-6</v>
      </c>
      <c r="D489" s="46" t="s">
        <v>47</v>
      </c>
    </row>
    <row r="490" spans="1:4" x14ac:dyDescent="0.2">
      <c r="A490" s="13" t="s">
        <v>29</v>
      </c>
      <c r="B490" s="19">
        <v>206.11399999999998</v>
      </c>
      <c r="C490" s="46">
        <v>6.4226046504088762E-6</v>
      </c>
      <c r="D490" s="46" t="s">
        <v>47</v>
      </c>
    </row>
    <row r="491" spans="1:4" x14ac:dyDescent="0.2">
      <c r="A491" s="13" t="s">
        <v>29</v>
      </c>
      <c r="B491" s="19">
        <v>206.11399999999998</v>
      </c>
      <c r="C491" s="46">
        <v>6.2452362080283976E-6</v>
      </c>
      <c r="D491" s="46" t="s">
        <v>47</v>
      </c>
    </row>
    <row r="492" spans="1:4" x14ac:dyDescent="0.2">
      <c r="A492" s="13" t="s">
        <v>29</v>
      </c>
      <c r="B492" s="19">
        <v>309.17099999999999</v>
      </c>
      <c r="C492" s="46">
        <v>1.07541287169637E-5</v>
      </c>
      <c r="D492" s="46" t="s">
        <v>47</v>
      </c>
    </row>
    <row r="493" spans="1:4" x14ac:dyDescent="0.2">
      <c r="A493" s="13" t="s">
        <v>29</v>
      </c>
      <c r="B493" s="19">
        <v>309.17099999999999</v>
      </c>
      <c r="C493" s="46">
        <v>1.2779863032572313E-5</v>
      </c>
      <c r="D493" s="46" t="s">
        <v>47</v>
      </c>
    </row>
    <row r="494" spans="1:4" x14ac:dyDescent="0.2">
      <c r="A494" s="13" t="s">
        <v>29</v>
      </c>
      <c r="B494" s="19">
        <v>412.22799999999995</v>
      </c>
      <c r="C494" s="46">
        <v>1.6812661301433702E-5</v>
      </c>
      <c r="D494" s="46" t="s">
        <v>47</v>
      </c>
    </row>
    <row r="495" spans="1:4" x14ac:dyDescent="0.2">
      <c r="A495" s="13" t="s">
        <v>29</v>
      </c>
      <c r="B495" s="19">
        <v>412.22799999999995</v>
      </c>
      <c r="C495" s="46">
        <v>1.1276898862927212E-5</v>
      </c>
      <c r="D495" s="46" t="s">
        <v>47</v>
      </c>
    </row>
    <row r="496" spans="1:4" x14ac:dyDescent="0.2">
      <c r="A496" s="13" t="s">
        <v>29</v>
      </c>
      <c r="B496" s="19">
        <v>515.28499999999997</v>
      </c>
      <c r="C496" s="46">
        <v>1.6644628040231144E-5</v>
      </c>
      <c r="D496" s="46" t="s">
        <v>47</v>
      </c>
    </row>
    <row r="497" spans="1:4" x14ac:dyDescent="0.2">
      <c r="A497" s="13" t="s">
        <v>29</v>
      </c>
      <c r="B497" s="19">
        <v>515.28499999999997</v>
      </c>
      <c r="C497" s="46">
        <v>1.5085652783518523E-5</v>
      </c>
      <c r="D497" s="46" t="s">
        <v>47</v>
      </c>
    </row>
    <row r="498" spans="1:4" x14ac:dyDescent="0.2">
      <c r="A498" s="13" t="s">
        <v>29</v>
      </c>
      <c r="B498" s="19">
        <v>618.34199999999998</v>
      </c>
      <c r="C498" s="46">
        <v>1.9081110327668231E-5</v>
      </c>
      <c r="D498" s="46" t="s">
        <v>47</v>
      </c>
    </row>
    <row r="499" spans="1:4" x14ac:dyDescent="0.2">
      <c r="A499" s="13" t="s">
        <v>29</v>
      </c>
      <c r="B499" s="19">
        <v>618.34199999999998</v>
      </c>
      <c r="C499" s="46">
        <v>1.673797985201034E-5</v>
      </c>
      <c r="D499" s="46" t="s">
        <v>47</v>
      </c>
    </row>
    <row r="500" spans="1:4" x14ac:dyDescent="0.2">
      <c r="A500" s="13" t="s">
        <v>29</v>
      </c>
      <c r="B500" s="19">
        <v>721.39899999999989</v>
      </c>
      <c r="C500" s="46">
        <v>2.0910805838540524E-5</v>
      </c>
      <c r="D500" s="46" t="s">
        <v>47</v>
      </c>
    </row>
    <row r="501" spans="1:4" x14ac:dyDescent="0.2">
      <c r="A501" s="13" t="s">
        <v>29</v>
      </c>
      <c r="B501" s="19">
        <v>721.39899999999989</v>
      </c>
      <c r="C501" s="46">
        <v>2.0892135476184686E-5</v>
      </c>
      <c r="D501" s="46" t="s">
        <v>47</v>
      </c>
    </row>
    <row r="502" spans="1:4" x14ac:dyDescent="0.2">
      <c r="A502" s="13" t="s">
        <v>29</v>
      </c>
      <c r="B502" s="19">
        <v>824.4559999999999</v>
      </c>
      <c r="C502" s="46">
        <v>2.4066097076677446E-5</v>
      </c>
      <c r="D502" s="46" t="s">
        <v>47</v>
      </c>
    </row>
    <row r="503" spans="1:4" x14ac:dyDescent="0.2">
      <c r="A503" s="13" t="s">
        <v>29</v>
      </c>
      <c r="B503" s="19">
        <v>824.4559999999999</v>
      </c>
      <c r="C503" s="46">
        <v>1.976257855365638E-5</v>
      </c>
      <c r="D503" s="46" t="s">
        <v>47</v>
      </c>
    </row>
    <row r="504" spans="1:4" x14ac:dyDescent="0.2">
      <c r="A504" s="13" t="s">
        <v>29</v>
      </c>
      <c r="B504" s="19">
        <v>927.51300000000003</v>
      </c>
      <c r="C504" s="46">
        <v>1.447886600695373E-5</v>
      </c>
      <c r="D504" s="46" t="s">
        <v>47</v>
      </c>
    </row>
    <row r="505" spans="1:4" x14ac:dyDescent="0.2">
      <c r="A505" s="13" t="s">
        <v>29</v>
      </c>
      <c r="B505" s="19">
        <v>927.51300000000003</v>
      </c>
      <c r="C505" s="46">
        <v>2.2535127363498586E-5</v>
      </c>
      <c r="D505" s="46" t="s">
        <v>47</v>
      </c>
    </row>
    <row r="506" spans="1:4" x14ac:dyDescent="0.2">
      <c r="A506" s="13" t="s">
        <v>29</v>
      </c>
      <c r="B506" s="19">
        <v>1030.57</v>
      </c>
      <c r="C506" s="46">
        <v>2.7221388314814361E-5</v>
      </c>
      <c r="D506" s="46" t="s">
        <v>47</v>
      </c>
    </row>
    <row r="507" spans="1:4" x14ac:dyDescent="0.2">
      <c r="A507" s="13" t="s">
        <v>29</v>
      </c>
      <c r="B507" s="19">
        <v>1030.57</v>
      </c>
      <c r="C507" s="46">
        <v>2.9676540964607292E-5</v>
      </c>
      <c r="D507" s="46" t="s">
        <v>47</v>
      </c>
    </row>
    <row r="508" spans="1:4" x14ac:dyDescent="0.2">
      <c r="A508" s="13" t="s">
        <v>29</v>
      </c>
      <c r="B508" s="19">
        <v>1236.684</v>
      </c>
      <c r="C508" s="46">
        <v>3.4922912786598261E-5</v>
      </c>
      <c r="D508" s="46" t="s">
        <v>47</v>
      </c>
    </row>
    <row r="509" spans="1:4" x14ac:dyDescent="0.2">
      <c r="A509" s="13" t="s">
        <v>29</v>
      </c>
      <c r="B509" s="19">
        <v>1236.684</v>
      </c>
      <c r="C509" s="46">
        <v>3.6481888043310883E-5</v>
      </c>
      <c r="D509" s="46" t="s">
        <v>47</v>
      </c>
    </row>
    <row r="510" spans="1:4" x14ac:dyDescent="0.2">
      <c r="A510" s="13" t="s">
        <v>29</v>
      </c>
      <c r="B510" s="19">
        <v>1442.7979999999998</v>
      </c>
      <c r="C510" s="46">
        <v>4.5527678604715247E-5</v>
      </c>
      <c r="D510" s="46" t="s">
        <v>47</v>
      </c>
    </row>
    <row r="511" spans="1:4" x14ac:dyDescent="0.2">
      <c r="A511" s="13" t="s">
        <v>29</v>
      </c>
      <c r="B511" s="19">
        <v>1442.7979999999998</v>
      </c>
      <c r="C511" s="46">
        <v>4.3035185230210636E-5</v>
      </c>
      <c r="D511" s="46" t="s">
        <v>47</v>
      </c>
    </row>
    <row r="512" spans="1:4" x14ac:dyDescent="0.2">
      <c r="A512" s="13" t="s">
        <v>29</v>
      </c>
      <c r="B512" s="19">
        <v>1648.9119999999998</v>
      </c>
      <c r="C512" s="46">
        <v>5.5983081523985509E-5</v>
      </c>
      <c r="D512" s="46" t="s">
        <v>47</v>
      </c>
    </row>
    <row r="513" spans="1:4" x14ac:dyDescent="0.2">
      <c r="A513" s="13" t="s">
        <v>29</v>
      </c>
      <c r="B513" s="19">
        <v>1648.9119999999998</v>
      </c>
      <c r="C513" s="46">
        <v>6.1126766353019357E-5</v>
      </c>
      <c r="D513" s="46" t="s">
        <v>47</v>
      </c>
    </row>
    <row r="514" spans="1:4" x14ac:dyDescent="0.2">
      <c r="A514" s="13" t="s">
        <v>29</v>
      </c>
      <c r="B514" s="19">
        <v>1855.0260000000001</v>
      </c>
      <c r="C514" s="46">
        <v>6.8632252020066941E-5</v>
      </c>
      <c r="D514" s="46" t="s">
        <v>47</v>
      </c>
    </row>
    <row r="515" spans="1:4" x14ac:dyDescent="0.2">
      <c r="A515" s="13" t="s">
        <v>29</v>
      </c>
      <c r="B515" s="19">
        <v>1855.0260000000001</v>
      </c>
      <c r="C515" s="46">
        <v>6.4748816650052281E-5</v>
      </c>
      <c r="D515" s="46" t="s">
        <v>47</v>
      </c>
    </row>
    <row r="516" spans="1:4" x14ac:dyDescent="0.2">
      <c r="A516" s="13" t="s">
        <v>29</v>
      </c>
      <c r="B516" s="19">
        <v>2061.14</v>
      </c>
      <c r="C516" s="46">
        <v>7.7668707400293374E-5</v>
      </c>
      <c r="D516" s="46" t="s">
        <v>47</v>
      </c>
    </row>
    <row r="517" spans="1:4" x14ac:dyDescent="0.2">
      <c r="A517" s="13" t="s">
        <v>29</v>
      </c>
      <c r="B517" s="19">
        <v>2061.14</v>
      </c>
      <c r="C517" s="46">
        <v>6.4963525817144432E-5</v>
      </c>
      <c r="D517" s="46" t="s">
        <v>47</v>
      </c>
    </row>
    <row r="518" spans="1:4" x14ac:dyDescent="0.2">
      <c r="A518" s="13" t="s">
        <v>29</v>
      </c>
      <c r="B518" s="19">
        <v>2267.2539999999999</v>
      </c>
      <c r="C518" s="46">
        <v>9.9111618565975331E-5</v>
      </c>
      <c r="D518" s="46" t="s">
        <v>47</v>
      </c>
    </row>
    <row r="519" spans="1:4" x14ac:dyDescent="0.2">
      <c r="A519" s="13" t="s">
        <v>29</v>
      </c>
      <c r="B519" s="19">
        <v>2267.2539999999999</v>
      </c>
      <c r="C519" s="46">
        <v>8.3325827194112828E-5</v>
      </c>
      <c r="D519" s="46" t="s">
        <v>47</v>
      </c>
    </row>
    <row r="520" spans="1:4" x14ac:dyDescent="0.2">
      <c r="A520" s="13" t="s">
        <v>29</v>
      </c>
      <c r="B520" s="19">
        <v>2679.4819999999995</v>
      </c>
      <c r="C520" s="46">
        <v>9.1298071920056396E-5</v>
      </c>
      <c r="D520" s="46" t="s">
        <v>47</v>
      </c>
    </row>
    <row r="521" spans="1:4" x14ac:dyDescent="0.2">
      <c r="A521" s="13" t="s">
        <v>29</v>
      </c>
      <c r="B521" s="19">
        <v>2679.4819999999995</v>
      </c>
      <c r="C521" s="46">
        <v>8.1869538930357344E-5</v>
      </c>
      <c r="D521" s="46" t="s">
        <v>47</v>
      </c>
    </row>
    <row r="522" spans="1:4" x14ac:dyDescent="0.2">
      <c r="A522" s="13" t="s">
        <v>29</v>
      </c>
      <c r="B522" s="19">
        <v>3091.7099999999996</v>
      </c>
      <c r="C522" s="46">
        <v>1.1937829690323939E-4</v>
      </c>
      <c r="D522" s="46" t="s">
        <v>47</v>
      </c>
    </row>
    <row r="523" spans="1:4" x14ac:dyDescent="0.2">
      <c r="A523" s="13" t="s">
        <v>29</v>
      </c>
      <c r="B523" s="19">
        <v>3091.7099999999996</v>
      </c>
      <c r="C523" s="46">
        <v>1.0266832259476282E-4</v>
      </c>
      <c r="D523" s="46" t="s">
        <v>47</v>
      </c>
    </row>
    <row r="524" spans="1:4" x14ac:dyDescent="0.2">
      <c r="A524" s="13" t="s">
        <v>29</v>
      </c>
      <c r="B524" s="19">
        <v>3503.9379999999996</v>
      </c>
      <c r="C524" s="46">
        <v>1.3602292494347055E-4</v>
      </c>
      <c r="D524" s="46" t="s">
        <v>47</v>
      </c>
    </row>
    <row r="525" spans="1:4" x14ac:dyDescent="0.2">
      <c r="A525" s="13" t="s">
        <v>29</v>
      </c>
      <c r="B525" s="19">
        <v>3503.9379999999996</v>
      </c>
      <c r="C525" s="46">
        <v>1.4254821658683654E-4</v>
      </c>
      <c r="D525" s="46" t="s">
        <v>47</v>
      </c>
    </row>
    <row r="526" spans="1:4" x14ac:dyDescent="0.2">
      <c r="A526" s="13" t="s">
        <v>29</v>
      </c>
      <c r="B526" s="19">
        <v>3916.1659999999997</v>
      </c>
      <c r="C526" s="46">
        <v>1.5438522632043895E-4</v>
      </c>
      <c r="D526" s="46" t="s">
        <v>47</v>
      </c>
    </row>
    <row r="527" spans="1:4" x14ac:dyDescent="0.2">
      <c r="A527" s="13" t="s">
        <v>29</v>
      </c>
      <c r="B527" s="19">
        <v>3916.1659999999997</v>
      </c>
      <c r="C527" s="46">
        <v>1.2135735531295841E-4</v>
      </c>
      <c r="D527" s="46" t="s">
        <v>47</v>
      </c>
    </row>
    <row r="528" spans="1:4" x14ac:dyDescent="0.2">
      <c r="A528" s="13" t="s">
        <v>29</v>
      </c>
      <c r="B528" s="19">
        <v>4328.3939999999993</v>
      </c>
      <c r="C528" s="46">
        <v>1.5585084976537237E-4</v>
      </c>
      <c r="D528" s="46" t="s">
        <v>47</v>
      </c>
    </row>
    <row r="529" spans="1:4" x14ac:dyDescent="0.2">
      <c r="A529" s="13" t="s">
        <v>29</v>
      </c>
      <c r="B529" s="19">
        <v>4328.3939999999993</v>
      </c>
      <c r="C529" s="46">
        <v>1.439391585823466E-4</v>
      </c>
      <c r="D529" s="46" t="s">
        <v>47</v>
      </c>
    </row>
    <row r="530" spans="1:4" x14ac:dyDescent="0.2">
      <c r="A530" s="13" t="s">
        <v>29</v>
      </c>
      <c r="B530" s="19">
        <v>4740.6219999999994</v>
      </c>
      <c r="C530" s="46">
        <v>1.5421719305923641E-4</v>
      </c>
      <c r="D530" s="46" t="s">
        <v>47</v>
      </c>
    </row>
    <row r="531" spans="1:4" x14ac:dyDescent="0.2">
      <c r="A531" s="13" t="s">
        <v>29</v>
      </c>
      <c r="B531" s="19">
        <v>4740.6219999999994</v>
      </c>
      <c r="C531" s="46">
        <v>1.4701043318988226E-4</v>
      </c>
      <c r="D531" s="46" t="s">
        <v>47</v>
      </c>
    </row>
    <row r="532" spans="1:4" x14ac:dyDescent="0.2">
      <c r="A532" s="13" t="s">
        <v>29</v>
      </c>
      <c r="B532" s="19">
        <v>5152.8500000000004</v>
      </c>
      <c r="C532" s="46">
        <v>1.6376708340424843E-4</v>
      </c>
      <c r="D532" s="46" t="s">
        <v>47</v>
      </c>
    </row>
    <row r="533" spans="1:4" x14ac:dyDescent="0.2">
      <c r="A533" s="13" t="s">
        <v>29</v>
      </c>
      <c r="B533" s="19">
        <v>5152.8500000000004</v>
      </c>
      <c r="C533" s="46">
        <v>1.6956423091573665E-4</v>
      </c>
      <c r="D533" s="46" t="s">
        <v>47</v>
      </c>
    </row>
    <row r="534" spans="1:4" x14ac:dyDescent="0.2">
      <c r="A534" s="13" t="s">
        <v>29</v>
      </c>
      <c r="B534" s="19">
        <v>0</v>
      </c>
      <c r="C534" s="46">
        <v>6.7412898718319366E-6</v>
      </c>
      <c r="D534" s="46" t="s">
        <v>48</v>
      </c>
    </row>
    <row r="535" spans="1:4" x14ac:dyDescent="0.2">
      <c r="A535" s="13" t="s">
        <v>29</v>
      </c>
      <c r="B535" s="19">
        <v>51.528499999999994</v>
      </c>
      <c r="C535" s="46">
        <v>7.3372477594680551E-6</v>
      </c>
      <c r="D535" s="46" t="s">
        <v>48</v>
      </c>
    </row>
    <row r="536" spans="1:4" x14ac:dyDescent="0.2">
      <c r="A536" s="13" t="s">
        <v>29</v>
      </c>
      <c r="B536" s="19">
        <v>103.05699999999999</v>
      </c>
      <c r="C536" s="46">
        <v>7.6003979955671205E-6</v>
      </c>
      <c r="D536" s="46" t="s">
        <v>48</v>
      </c>
    </row>
    <row r="537" spans="1:4" x14ac:dyDescent="0.2">
      <c r="A537" s="13" t="s">
        <v>29</v>
      </c>
      <c r="B537" s="19">
        <v>103.05699999999999</v>
      </c>
      <c r="C537" s="46">
        <v>6.7103310205261644E-6</v>
      </c>
      <c r="D537" s="46" t="s">
        <v>48</v>
      </c>
    </row>
    <row r="538" spans="1:4" x14ac:dyDescent="0.2">
      <c r="A538" s="13" t="s">
        <v>29</v>
      </c>
      <c r="B538" s="19">
        <v>154.5855</v>
      </c>
      <c r="C538" s="46">
        <v>5.3326621374192923E-6</v>
      </c>
      <c r="D538" s="46" t="s">
        <v>48</v>
      </c>
    </row>
    <row r="539" spans="1:4" x14ac:dyDescent="0.2">
      <c r="A539" s="13" t="s">
        <v>29</v>
      </c>
      <c r="B539" s="19">
        <v>154.5855</v>
      </c>
      <c r="C539" s="46">
        <v>9.3263539558639288E-6</v>
      </c>
      <c r="D539" s="46" t="s">
        <v>48</v>
      </c>
    </row>
    <row r="540" spans="1:4" x14ac:dyDescent="0.2">
      <c r="A540" s="13" t="s">
        <v>29</v>
      </c>
      <c r="B540" s="19">
        <v>206.11399999999998</v>
      </c>
      <c r="C540" s="46">
        <v>8.8619711862773443E-6</v>
      </c>
      <c r="D540" s="46" t="s">
        <v>48</v>
      </c>
    </row>
    <row r="541" spans="1:4" x14ac:dyDescent="0.2">
      <c r="A541" s="13" t="s">
        <v>29</v>
      </c>
      <c r="B541" s="19">
        <v>206.11399999999998</v>
      </c>
      <c r="C541" s="46">
        <v>9.1328611352028521E-6</v>
      </c>
      <c r="D541" s="46" t="s">
        <v>48</v>
      </c>
    </row>
    <row r="542" spans="1:4" x14ac:dyDescent="0.2">
      <c r="A542" s="13" t="s">
        <v>29</v>
      </c>
      <c r="B542" s="19">
        <v>309.17099999999999</v>
      </c>
      <c r="C542" s="46">
        <v>1.2793745302110436E-5</v>
      </c>
      <c r="D542" s="46" t="s">
        <v>48</v>
      </c>
    </row>
    <row r="543" spans="1:4" x14ac:dyDescent="0.2">
      <c r="A543" s="13" t="s">
        <v>29</v>
      </c>
      <c r="B543" s="19">
        <v>309.17099999999999</v>
      </c>
      <c r="C543" s="46">
        <v>9.6282027560952097E-6</v>
      </c>
      <c r="D543" s="46" t="s">
        <v>48</v>
      </c>
    </row>
    <row r="544" spans="1:4" x14ac:dyDescent="0.2">
      <c r="A544" s="13" t="s">
        <v>29</v>
      </c>
      <c r="B544" s="19">
        <v>412.22799999999995</v>
      </c>
      <c r="C544" s="46">
        <v>1.2863402717548423E-5</v>
      </c>
      <c r="D544" s="46" t="s">
        <v>48</v>
      </c>
    </row>
    <row r="545" spans="1:4" x14ac:dyDescent="0.2">
      <c r="A545" s="13" t="s">
        <v>29</v>
      </c>
      <c r="B545" s="19">
        <v>412.22799999999995</v>
      </c>
      <c r="C545" s="46">
        <v>8.1731367447239083E-6</v>
      </c>
      <c r="D545" s="46" t="s">
        <v>48</v>
      </c>
    </row>
    <row r="546" spans="1:4" x14ac:dyDescent="0.2">
      <c r="A546" s="13" t="s">
        <v>29</v>
      </c>
      <c r="B546" s="19">
        <v>515.28499999999997</v>
      </c>
      <c r="C546" s="46">
        <v>1.2654430471234458E-5</v>
      </c>
      <c r="D546" s="46" t="s">
        <v>48</v>
      </c>
    </row>
    <row r="547" spans="1:4" x14ac:dyDescent="0.2">
      <c r="A547" s="13" t="s">
        <v>29</v>
      </c>
      <c r="B547" s="19">
        <v>515.28499999999997</v>
      </c>
      <c r="C547" s="46">
        <v>0</v>
      </c>
      <c r="D547" s="46" t="s">
        <v>48</v>
      </c>
    </row>
    <row r="548" spans="1:4" x14ac:dyDescent="0.2">
      <c r="A548" s="13" t="s">
        <v>29</v>
      </c>
      <c r="B548" s="19">
        <v>618.34199999999998</v>
      </c>
      <c r="C548" s="46">
        <v>1.3885044810638913E-5</v>
      </c>
      <c r="D548" s="46" t="s">
        <v>48</v>
      </c>
    </row>
    <row r="549" spans="1:4" x14ac:dyDescent="0.2">
      <c r="A549" s="13" t="s">
        <v>29</v>
      </c>
      <c r="B549" s="19">
        <v>618.34199999999998</v>
      </c>
      <c r="C549" s="46">
        <v>1.2089431434904116E-5</v>
      </c>
      <c r="D549" s="46" t="s">
        <v>48</v>
      </c>
    </row>
    <row r="550" spans="1:4" x14ac:dyDescent="0.2">
      <c r="A550" s="13" t="s">
        <v>29</v>
      </c>
      <c r="B550" s="19">
        <v>721.39899999999989</v>
      </c>
      <c r="C550" s="46">
        <v>1.3490319456490315E-5</v>
      </c>
      <c r="D550" s="46" t="s">
        <v>48</v>
      </c>
    </row>
    <row r="551" spans="1:4" x14ac:dyDescent="0.2">
      <c r="A551" s="13" t="s">
        <v>29</v>
      </c>
      <c r="B551" s="19">
        <v>721.39899999999989</v>
      </c>
      <c r="C551" s="46">
        <v>1.2631211332755132E-5</v>
      </c>
      <c r="D551" s="46" t="s">
        <v>48</v>
      </c>
    </row>
    <row r="552" spans="1:4" x14ac:dyDescent="0.2">
      <c r="A552" s="13" t="s">
        <v>29</v>
      </c>
      <c r="B552" s="19">
        <v>824.4559999999999</v>
      </c>
      <c r="C552" s="46">
        <v>1.4395865857184156E-5</v>
      </c>
      <c r="D552" s="46" t="s">
        <v>48</v>
      </c>
    </row>
    <row r="553" spans="1:4" x14ac:dyDescent="0.2">
      <c r="A553" s="13" t="s">
        <v>29</v>
      </c>
      <c r="B553" s="19">
        <v>824.4559999999999</v>
      </c>
      <c r="C553" s="46">
        <v>1.282470415341621E-5</v>
      </c>
      <c r="D553" s="46" t="s">
        <v>48</v>
      </c>
    </row>
    <row r="554" spans="1:4" x14ac:dyDescent="0.2">
      <c r="A554" s="13" t="s">
        <v>29</v>
      </c>
      <c r="B554" s="19">
        <v>927.51300000000003</v>
      </c>
      <c r="C554" s="46">
        <v>9.2799156789052726E-6</v>
      </c>
      <c r="D554" s="46" t="s">
        <v>48</v>
      </c>
    </row>
    <row r="555" spans="1:4" x14ac:dyDescent="0.2">
      <c r="A555" s="13" t="s">
        <v>29</v>
      </c>
      <c r="B555" s="19">
        <v>927.51300000000003</v>
      </c>
      <c r="C555" s="46">
        <v>1.2840183579069097E-5</v>
      </c>
      <c r="D555" s="46" t="s">
        <v>48</v>
      </c>
    </row>
    <row r="556" spans="1:4" x14ac:dyDescent="0.2">
      <c r="A556" s="13" t="s">
        <v>29</v>
      </c>
      <c r="B556" s="19">
        <v>1030.57</v>
      </c>
      <c r="C556" s="46">
        <v>1.5084700298737592E-5</v>
      </c>
      <c r="D556" s="46" t="s">
        <v>48</v>
      </c>
    </row>
    <row r="557" spans="1:4" x14ac:dyDescent="0.2">
      <c r="A557" s="13" t="s">
        <v>29</v>
      </c>
      <c r="B557" s="19">
        <v>1030.57</v>
      </c>
      <c r="C557" s="46">
        <v>1.6199218945745399E-5</v>
      </c>
      <c r="D557" s="46" t="s">
        <v>48</v>
      </c>
    </row>
    <row r="558" spans="1:4" x14ac:dyDescent="0.2">
      <c r="A558" s="13" t="s">
        <v>29</v>
      </c>
      <c r="B558" s="19">
        <v>1236.684</v>
      </c>
      <c r="C558" s="46">
        <v>1.9596952876553913E-5</v>
      </c>
      <c r="D558" s="46" t="s">
        <v>48</v>
      </c>
    </row>
    <row r="559" spans="1:4" x14ac:dyDescent="0.2">
      <c r="A559" s="13" t="s">
        <v>29</v>
      </c>
      <c r="B559" s="19">
        <v>1236.684</v>
      </c>
      <c r="C559" s="46">
        <v>2.1547360508817577E-5</v>
      </c>
      <c r="D559" s="46" t="s">
        <v>48</v>
      </c>
    </row>
    <row r="560" spans="1:4" x14ac:dyDescent="0.2">
      <c r="A560" s="13" t="s">
        <v>29</v>
      </c>
      <c r="B560" s="19">
        <v>1442.7979999999998</v>
      </c>
      <c r="C560" s="46">
        <v>2.6067352799460344E-5</v>
      </c>
      <c r="D560" s="46" t="s">
        <v>48</v>
      </c>
    </row>
    <row r="561" spans="1:4" x14ac:dyDescent="0.2">
      <c r="A561" s="13" t="s">
        <v>29</v>
      </c>
      <c r="B561" s="19">
        <v>1442.7979999999998</v>
      </c>
      <c r="C561" s="46">
        <v>2.4952834152452536E-5</v>
      </c>
      <c r="D561" s="46" t="s">
        <v>48</v>
      </c>
    </row>
    <row r="562" spans="1:4" x14ac:dyDescent="0.2">
      <c r="A562" s="13" t="s">
        <v>29</v>
      </c>
      <c r="B562" s="19">
        <v>1648.9119999999998</v>
      </c>
      <c r="C562" s="46">
        <v>2.7669473354534062E-5</v>
      </c>
      <c r="D562" s="46" t="s">
        <v>48</v>
      </c>
    </row>
    <row r="563" spans="1:4" x14ac:dyDescent="0.2">
      <c r="A563" s="13" t="s">
        <v>29</v>
      </c>
      <c r="B563" s="19">
        <v>1648.9119999999998</v>
      </c>
      <c r="C563" s="46">
        <v>2.7715911631492722E-5</v>
      </c>
      <c r="D563" s="46" t="s">
        <v>48</v>
      </c>
    </row>
    <row r="564" spans="1:4" x14ac:dyDescent="0.2">
      <c r="A564" s="13" t="s">
        <v>29</v>
      </c>
      <c r="B564" s="19">
        <v>1855.0260000000001</v>
      </c>
      <c r="C564" s="46">
        <v>2.9426388166136646E-5</v>
      </c>
      <c r="D564" s="46" t="s">
        <v>48</v>
      </c>
    </row>
    <row r="565" spans="1:4" x14ac:dyDescent="0.2">
      <c r="A565" s="13" t="s">
        <v>29</v>
      </c>
      <c r="B565" s="19">
        <v>1855.0260000000001</v>
      </c>
      <c r="C565" s="46">
        <v>3.2251383347788375E-5</v>
      </c>
      <c r="D565" s="46" t="s">
        <v>48</v>
      </c>
    </row>
    <row r="566" spans="1:4" x14ac:dyDescent="0.2">
      <c r="A566" s="13" t="s">
        <v>29</v>
      </c>
      <c r="B566" s="19">
        <v>2061.14</v>
      </c>
      <c r="C566" s="46">
        <v>3.1980493398862872E-5</v>
      </c>
      <c r="D566" s="46" t="s">
        <v>48</v>
      </c>
    </row>
    <row r="567" spans="1:4" x14ac:dyDescent="0.2">
      <c r="A567" s="13" t="s">
        <v>29</v>
      </c>
      <c r="B567" s="19">
        <v>2061.14</v>
      </c>
      <c r="C567" s="46">
        <v>3.1013029295557485E-5</v>
      </c>
      <c r="D567" s="46" t="s">
        <v>48</v>
      </c>
    </row>
    <row r="568" spans="1:4" x14ac:dyDescent="0.2">
      <c r="A568" s="13" t="s">
        <v>29</v>
      </c>
      <c r="B568" s="19">
        <v>2267.2539999999999</v>
      </c>
      <c r="C568" s="46">
        <v>4.8048137226558734E-5</v>
      </c>
      <c r="D568" s="46" t="s">
        <v>48</v>
      </c>
    </row>
    <row r="569" spans="1:4" x14ac:dyDescent="0.2">
      <c r="A569" s="13" t="s">
        <v>29</v>
      </c>
      <c r="B569" s="19">
        <v>2267.2539999999999</v>
      </c>
      <c r="C569" s="46">
        <v>4.468136214705599E-5</v>
      </c>
      <c r="D569" s="46" t="s">
        <v>48</v>
      </c>
    </row>
    <row r="570" spans="1:4" x14ac:dyDescent="0.2">
      <c r="A570" s="13" t="s">
        <v>29</v>
      </c>
      <c r="B570" s="19">
        <v>2679.4819999999995</v>
      </c>
      <c r="C570" s="46">
        <v>3.4077955574828947E-5</v>
      </c>
      <c r="D570" s="46" t="s">
        <v>48</v>
      </c>
    </row>
    <row r="571" spans="1:4" x14ac:dyDescent="0.2">
      <c r="A571" s="13" t="s">
        <v>29</v>
      </c>
      <c r="B571" s="19">
        <v>2679.4819999999995</v>
      </c>
      <c r="C571" s="46">
        <v>3.346651826153994E-5</v>
      </c>
      <c r="D571" s="46" t="s">
        <v>48</v>
      </c>
    </row>
    <row r="572" spans="1:4" x14ac:dyDescent="0.2">
      <c r="A572" s="13" t="s">
        <v>29</v>
      </c>
      <c r="B572" s="19">
        <v>3091.7099999999996</v>
      </c>
      <c r="C572" s="46">
        <v>4.8497040570492427E-5</v>
      </c>
      <c r="D572" s="46" t="s">
        <v>48</v>
      </c>
    </row>
    <row r="573" spans="1:4" x14ac:dyDescent="0.2">
      <c r="A573" s="13" t="s">
        <v>29</v>
      </c>
      <c r="B573" s="19">
        <v>3091.7099999999996</v>
      </c>
      <c r="C573" s="46">
        <v>3.4836447431820371E-5</v>
      </c>
      <c r="D573" s="46" t="s">
        <v>48</v>
      </c>
    </row>
    <row r="574" spans="1:4" x14ac:dyDescent="0.2">
      <c r="A574" s="13" t="s">
        <v>29</v>
      </c>
      <c r="B574" s="19">
        <v>3503.9379999999996</v>
      </c>
      <c r="C574" s="46">
        <v>5.5973603160836456E-5</v>
      </c>
      <c r="D574" s="46" t="s">
        <v>48</v>
      </c>
    </row>
    <row r="575" spans="1:4" x14ac:dyDescent="0.2">
      <c r="A575" s="13" t="s">
        <v>29</v>
      </c>
      <c r="B575" s="19">
        <v>3503.9379999999996</v>
      </c>
      <c r="C575" s="46">
        <v>7.0052140792136453E-5</v>
      </c>
      <c r="D575" s="46" t="s">
        <v>48</v>
      </c>
    </row>
    <row r="576" spans="1:4" x14ac:dyDescent="0.2">
      <c r="A576" s="13" t="s">
        <v>29</v>
      </c>
      <c r="B576" s="19">
        <v>3916.1659999999997</v>
      </c>
      <c r="C576" s="46">
        <v>5.9975034692107539E-5</v>
      </c>
      <c r="D576" s="46" t="s">
        <v>48</v>
      </c>
    </row>
    <row r="577" spans="1:4" x14ac:dyDescent="0.2">
      <c r="A577" s="13" t="s">
        <v>29</v>
      </c>
      <c r="B577" s="19">
        <v>3916.1659999999997</v>
      </c>
      <c r="C577" s="46">
        <v>4.9031080755517005E-5</v>
      </c>
      <c r="D577" s="46" t="s">
        <v>48</v>
      </c>
    </row>
    <row r="578" spans="1:4" x14ac:dyDescent="0.2">
      <c r="A578" s="13" t="s">
        <v>29</v>
      </c>
      <c r="B578" s="19">
        <v>4328.3939999999993</v>
      </c>
      <c r="C578" s="46">
        <v>9.251278741447432E-5</v>
      </c>
      <c r="D578" s="46" t="s">
        <v>48</v>
      </c>
    </row>
    <row r="579" spans="1:4" x14ac:dyDescent="0.2">
      <c r="A579" s="13" t="s">
        <v>29</v>
      </c>
      <c r="B579" s="19">
        <v>4328.3939999999993</v>
      </c>
      <c r="C579" s="46">
        <v>6.6267421220005782E-5</v>
      </c>
      <c r="D579" s="46" t="s">
        <v>48</v>
      </c>
    </row>
    <row r="580" spans="1:4" x14ac:dyDescent="0.2">
      <c r="A580" s="13" t="s">
        <v>29</v>
      </c>
      <c r="B580" s="19">
        <v>4740.6219999999994</v>
      </c>
      <c r="C580" s="46">
        <v>7.6259390478943819E-5</v>
      </c>
      <c r="D580" s="46" t="s">
        <v>48</v>
      </c>
    </row>
    <row r="581" spans="1:4" x14ac:dyDescent="0.2">
      <c r="A581" s="13" t="s">
        <v>29</v>
      </c>
      <c r="B581" s="19">
        <v>4740.6219999999994</v>
      </c>
      <c r="C581" s="46">
        <v>5.3705867302688633E-5</v>
      </c>
      <c r="D581" s="46" t="s">
        <v>48</v>
      </c>
    </row>
    <row r="582" spans="1:4" x14ac:dyDescent="0.2">
      <c r="A582" s="13" t="s">
        <v>29</v>
      </c>
      <c r="B582" s="19">
        <v>5152.8500000000004</v>
      </c>
      <c r="C582" s="46">
        <v>6.7459336995278016E-5</v>
      </c>
      <c r="D582" s="46" t="s">
        <v>48</v>
      </c>
    </row>
    <row r="583" spans="1:4" x14ac:dyDescent="0.2">
      <c r="A583" s="13" t="s">
        <v>29</v>
      </c>
      <c r="B583" s="19">
        <v>5152.8500000000004</v>
      </c>
      <c r="C583" s="46">
        <v>6.7498035559410231E-5</v>
      </c>
      <c r="D583" s="46" t="s">
        <v>48</v>
      </c>
    </row>
    <row r="584" spans="1:4" x14ac:dyDescent="0.2">
      <c r="A584" s="13" t="s">
        <v>29</v>
      </c>
      <c r="B584" s="19">
        <v>0</v>
      </c>
      <c r="C584" s="46">
        <v>9.087720262432253E-6</v>
      </c>
      <c r="D584" s="46" t="s">
        <v>49</v>
      </c>
    </row>
    <row r="585" spans="1:4" x14ac:dyDescent="0.2">
      <c r="A585" s="13" t="s">
        <v>29</v>
      </c>
      <c r="B585" s="19">
        <v>51.528499999999994</v>
      </c>
      <c r="C585" s="45">
        <v>6.5584518398782921E-6</v>
      </c>
      <c r="D585" s="46" t="s">
        <v>49</v>
      </c>
    </row>
    <row r="586" spans="1:4" x14ac:dyDescent="0.2">
      <c r="A586" s="13" t="s">
        <v>29</v>
      </c>
      <c r="B586" s="19">
        <v>103.05699999999999</v>
      </c>
      <c r="C586" s="46">
        <v>3.5762679090995528E-5</v>
      </c>
      <c r="D586" s="46" t="s">
        <v>49</v>
      </c>
    </row>
    <row r="587" spans="1:4" x14ac:dyDescent="0.2">
      <c r="A587" s="13" t="s">
        <v>29</v>
      </c>
      <c r="B587" s="19">
        <v>103.05699999999999</v>
      </c>
      <c r="C587" s="46">
        <v>3.0547288390225347E-5</v>
      </c>
      <c r="D587" s="46" t="s">
        <v>49</v>
      </c>
    </row>
    <row r="588" spans="1:4" x14ac:dyDescent="0.2">
      <c r="A588" s="13" t="s">
        <v>29</v>
      </c>
      <c r="B588" s="19">
        <v>154.5855</v>
      </c>
      <c r="C588" s="46">
        <v>8.0995409717600077E-5</v>
      </c>
      <c r="D588" s="46" t="s">
        <v>49</v>
      </c>
    </row>
    <row r="589" spans="1:4" x14ac:dyDescent="0.2">
      <c r="A589" s="13" t="s">
        <v>29</v>
      </c>
      <c r="B589" s="19">
        <v>154.5855</v>
      </c>
      <c r="C589" s="46">
        <v>7.4378137681848451E-5</v>
      </c>
      <c r="D589" s="46" t="s">
        <v>49</v>
      </c>
    </row>
    <row r="590" spans="1:4" x14ac:dyDescent="0.2">
      <c r="A590" s="13" t="s">
        <v>29</v>
      </c>
      <c r="B590" s="19">
        <v>206.11399999999998</v>
      </c>
      <c r="C590" s="46">
        <v>1.3560996158600361E-4</v>
      </c>
      <c r="D590" s="46" t="s">
        <v>49</v>
      </c>
    </row>
    <row r="591" spans="1:4" x14ac:dyDescent="0.2">
      <c r="A591" s="13" t="s">
        <v>29</v>
      </c>
      <c r="B591" s="19">
        <v>206.11399999999998</v>
      </c>
      <c r="C591" s="46">
        <v>1.2367926518969284E-4</v>
      </c>
      <c r="D591" s="46" t="s">
        <v>49</v>
      </c>
    </row>
    <row r="592" spans="1:4" x14ac:dyDescent="0.2">
      <c r="A592" s="13" t="s">
        <v>29</v>
      </c>
      <c r="B592" s="19">
        <v>309.17099999999999</v>
      </c>
      <c r="C592" s="46">
        <v>2.8105269924883522E-4</v>
      </c>
      <c r="D592" s="46" t="s">
        <v>49</v>
      </c>
    </row>
    <row r="593" spans="1:4" x14ac:dyDescent="0.2">
      <c r="A593" s="13" t="s">
        <v>29</v>
      </c>
      <c r="B593" s="19">
        <v>309.17099999999999</v>
      </c>
      <c r="C593" s="46">
        <v>2.7604317923362177E-4</v>
      </c>
      <c r="D593" s="46" t="s">
        <v>49</v>
      </c>
    </row>
    <row r="594" spans="1:4" x14ac:dyDescent="0.2">
      <c r="A594" s="13" t="s">
        <v>29</v>
      </c>
      <c r="B594" s="19">
        <v>412.22799999999995</v>
      </c>
      <c r="C594" s="46">
        <v>4.5240573319387656E-4</v>
      </c>
      <c r="D594" s="46" t="s">
        <v>49</v>
      </c>
    </row>
    <row r="595" spans="1:4" x14ac:dyDescent="0.2">
      <c r="A595" s="13" t="s">
        <v>29</v>
      </c>
      <c r="B595" s="19">
        <v>412.22799999999995</v>
      </c>
      <c r="C595" s="46">
        <v>4.3614194903489583E-4</v>
      </c>
      <c r="D595" s="46" t="s">
        <v>49</v>
      </c>
    </row>
    <row r="596" spans="1:4" x14ac:dyDescent="0.2">
      <c r="A596" s="13" t="s">
        <v>29</v>
      </c>
      <c r="B596" s="19">
        <v>515.28499999999997</v>
      </c>
      <c r="C596" s="46">
        <v>5.4794933802415136E-4</v>
      </c>
      <c r="D596" s="46" t="s">
        <v>49</v>
      </c>
    </row>
    <row r="597" spans="1:4" x14ac:dyDescent="0.2">
      <c r="A597" s="13" t="s">
        <v>29</v>
      </c>
      <c r="B597" s="19">
        <v>515.28499999999997</v>
      </c>
      <c r="C597" s="46">
        <v>5.4381231758105918E-4</v>
      </c>
      <c r="D597" s="46" t="s">
        <v>49</v>
      </c>
    </row>
    <row r="598" spans="1:4" x14ac:dyDescent="0.2">
      <c r="A598" s="13" t="s">
        <v>29</v>
      </c>
      <c r="B598" s="19">
        <v>618.34199999999998</v>
      </c>
      <c r="C598" s="46">
        <v>6.1389658096415326E-4</v>
      </c>
      <c r="D598" s="46" t="s">
        <v>49</v>
      </c>
    </row>
    <row r="599" spans="1:4" x14ac:dyDescent="0.2">
      <c r="A599" s="13" t="s">
        <v>29</v>
      </c>
      <c r="B599" s="19">
        <v>618.34199999999998</v>
      </c>
      <c r="C599" s="46">
        <v>6.2824870875725013E-4</v>
      </c>
      <c r="D599" s="46" t="s">
        <v>49</v>
      </c>
    </row>
    <row r="600" spans="1:4" x14ac:dyDescent="0.2">
      <c r="A600" s="13" t="s">
        <v>29</v>
      </c>
      <c r="B600" s="19">
        <v>721.39899999999989</v>
      </c>
      <c r="C600" s="46">
        <v>5.8472176381097276E-4</v>
      </c>
      <c r="D600" s="46" t="s">
        <v>49</v>
      </c>
    </row>
    <row r="601" spans="1:4" x14ac:dyDescent="0.2">
      <c r="A601" s="13" t="s">
        <v>29</v>
      </c>
      <c r="B601" s="19">
        <v>721.39899999999989</v>
      </c>
      <c r="C601" s="46">
        <v>7.0142103242369495E-4</v>
      </c>
      <c r="D601" s="46" t="s">
        <v>49</v>
      </c>
    </row>
    <row r="602" spans="1:4" x14ac:dyDescent="0.2">
      <c r="A602" s="13" t="s">
        <v>29</v>
      </c>
      <c r="B602" s="19">
        <v>824.4559999999999</v>
      </c>
      <c r="C602" s="46">
        <v>6.0080908738233325E-4</v>
      </c>
      <c r="D602" s="46" t="s">
        <v>49</v>
      </c>
    </row>
    <row r="603" spans="1:4" x14ac:dyDescent="0.2">
      <c r="A603" s="13" t="s">
        <v>29</v>
      </c>
      <c r="B603" s="19">
        <v>824.4559999999999</v>
      </c>
      <c r="C603" s="46">
        <v>5.6158582010078912E-4</v>
      </c>
      <c r="D603" s="46" t="s">
        <v>49</v>
      </c>
    </row>
    <row r="604" spans="1:4" x14ac:dyDescent="0.2">
      <c r="A604" s="13" t="s">
        <v>29</v>
      </c>
      <c r="B604" s="19">
        <v>927.51300000000003</v>
      </c>
      <c r="C604" s="46">
        <v>4.3021091261766665E-4</v>
      </c>
      <c r="D604" s="46" t="s">
        <v>49</v>
      </c>
    </row>
    <row r="605" spans="1:4" x14ac:dyDescent="0.2">
      <c r="A605" s="13" t="s">
        <v>29</v>
      </c>
      <c r="B605" s="19">
        <v>927.51300000000003</v>
      </c>
      <c r="C605" s="46">
        <v>5.9242720947038133E-4</v>
      </c>
      <c r="D605" s="46" t="s">
        <v>49</v>
      </c>
    </row>
    <row r="606" spans="1:4" x14ac:dyDescent="0.2">
      <c r="A606" s="13" t="s">
        <v>29</v>
      </c>
      <c r="B606" s="19">
        <v>1030.57</v>
      </c>
      <c r="C606" s="46">
        <v>5.2076460416468568E-4</v>
      </c>
      <c r="D606" s="46" t="s">
        <v>49</v>
      </c>
    </row>
    <row r="607" spans="1:4" x14ac:dyDescent="0.2">
      <c r="A607" s="13" t="s">
        <v>29</v>
      </c>
      <c r="B607" s="19">
        <v>1030.57</v>
      </c>
      <c r="C607" s="46">
        <v>5.6236028601312164E-4</v>
      </c>
      <c r="D607" s="46" t="s">
        <v>49</v>
      </c>
    </row>
    <row r="608" spans="1:4" x14ac:dyDescent="0.2">
      <c r="A608" s="13" t="s">
        <v>29</v>
      </c>
      <c r="B608" s="19">
        <v>1236.684</v>
      </c>
      <c r="C608" s="46">
        <v>4.9700124503185327E-4</v>
      </c>
      <c r="D608" s="46" t="s">
        <v>49</v>
      </c>
    </row>
    <row r="609" spans="1:4" x14ac:dyDescent="0.2">
      <c r="A609" s="13" t="s">
        <v>29</v>
      </c>
      <c r="B609" s="19">
        <v>1236.684</v>
      </c>
      <c r="C609" s="46">
        <v>5.1301994504136166E-4</v>
      </c>
      <c r="D609" s="46" t="s">
        <v>49</v>
      </c>
    </row>
    <row r="610" spans="1:4" x14ac:dyDescent="0.2">
      <c r="A610" s="13" t="s">
        <v>29</v>
      </c>
      <c r="B610" s="19">
        <v>1442.7979999999998</v>
      </c>
      <c r="C610" s="46">
        <v>4.7759058039364836E-4</v>
      </c>
      <c r="D610" s="46" t="s">
        <v>49</v>
      </c>
    </row>
    <row r="611" spans="1:4" x14ac:dyDescent="0.2">
      <c r="A611" s="13" t="s">
        <v>29</v>
      </c>
      <c r="B611" s="19">
        <v>1442.7979999999998</v>
      </c>
      <c r="C611" s="46">
        <v>4.9895211486165251E-4</v>
      </c>
      <c r="D611" s="46" t="s">
        <v>49</v>
      </c>
    </row>
    <row r="612" spans="1:4" x14ac:dyDescent="0.2">
      <c r="A612" s="13" t="s">
        <v>29</v>
      </c>
      <c r="B612" s="19">
        <v>1648.9119999999998</v>
      </c>
      <c r="C612" s="46">
        <v>4.682969894456594E-4</v>
      </c>
      <c r="D612" s="46" t="s">
        <v>49</v>
      </c>
    </row>
    <row r="613" spans="1:4" x14ac:dyDescent="0.2">
      <c r="A613" s="13" t="s">
        <v>29</v>
      </c>
      <c r="B613" s="19">
        <v>1648.9119999999998</v>
      </c>
      <c r="C613" s="46">
        <v>6.0492650109346781E-4</v>
      </c>
      <c r="D613" s="46" t="s">
        <v>49</v>
      </c>
    </row>
    <row r="614" spans="1:4" x14ac:dyDescent="0.2">
      <c r="A614" s="13" t="s">
        <v>29</v>
      </c>
      <c r="B614" s="19">
        <v>1855.0260000000001</v>
      </c>
      <c r="C614" s="46">
        <v>4.9593267814015398E-4</v>
      </c>
      <c r="D614" s="46" t="s">
        <v>49</v>
      </c>
    </row>
    <row r="615" spans="1:4" x14ac:dyDescent="0.2">
      <c r="A615" s="13" t="s">
        <v>29</v>
      </c>
      <c r="B615" s="19">
        <v>1855.0260000000001</v>
      </c>
      <c r="C615" s="46">
        <v>5.2839162289626302E-4</v>
      </c>
      <c r="D615" s="46" t="s">
        <v>49</v>
      </c>
    </row>
    <row r="616" spans="1:4" x14ac:dyDescent="0.2">
      <c r="A616" s="13" t="s">
        <v>29</v>
      </c>
      <c r="B616" s="19">
        <v>2061.14</v>
      </c>
      <c r="C616" s="46">
        <v>5.2621527564894932E-4</v>
      </c>
      <c r="D616" s="46" t="s">
        <v>49</v>
      </c>
    </row>
    <row r="617" spans="1:4" x14ac:dyDescent="0.2">
      <c r="A617" s="13" t="s">
        <v>29</v>
      </c>
      <c r="B617" s="19">
        <v>2061.14</v>
      </c>
      <c r="C617" s="46">
        <v>4.6066016734810304E-4</v>
      </c>
      <c r="D617" s="46" t="s">
        <v>49</v>
      </c>
    </row>
    <row r="618" spans="1:4" x14ac:dyDescent="0.2">
      <c r="A618" s="13" t="s">
        <v>29</v>
      </c>
      <c r="B618" s="19">
        <v>2267.2539999999999</v>
      </c>
      <c r="C618" s="46">
        <v>5.5564498031758112E-4</v>
      </c>
      <c r="D618" s="46" t="s">
        <v>49</v>
      </c>
    </row>
    <row r="619" spans="1:4" x14ac:dyDescent="0.2">
      <c r="A619" s="13" t="s">
        <v>29</v>
      </c>
      <c r="B619" s="19">
        <v>2267.2539999999999</v>
      </c>
      <c r="C619" s="46">
        <v>4.8554111020252921E-4</v>
      </c>
      <c r="D619" s="46" t="s">
        <v>49</v>
      </c>
    </row>
    <row r="620" spans="1:4" x14ac:dyDescent="0.2">
      <c r="A620" s="13" t="s">
        <v>29</v>
      </c>
      <c r="B620" s="19">
        <v>2679.4819999999995</v>
      </c>
      <c r="C620" s="46">
        <v>4.86462626604545E-4</v>
      </c>
      <c r="D620" s="46" t="s">
        <v>49</v>
      </c>
    </row>
    <row r="621" spans="1:4" x14ac:dyDescent="0.2">
      <c r="A621" s="13" t="s">
        <v>29</v>
      </c>
      <c r="B621" s="19">
        <v>2679.4819999999995</v>
      </c>
      <c r="C621" s="46">
        <v>5.0035399619663401E-4</v>
      </c>
      <c r="D621" s="46" t="s">
        <v>49</v>
      </c>
    </row>
    <row r="622" spans="1:4" x14ac:dyDescent="0.2">
      <c r="A622" s="13" t="s">
        <v>29</v>
      </c>
      <c r="B622" s="19">
        <v>3091.7099999999996</v>
      </c>
      <c r="C622" s="46">
        <v>4.9591307140819626E-4</v>
      </c>
      <c r="D622" s="46" t="s">
        <v>49</v>
      </c>
    </row>
    <row r="623" spans="1:4" x14ac:dyDescent="0.2">
      <c r="A623" s="13" t="s">
        <v>29</v>
      </c>
      <c r="B623" s="19">
        <v>3091.7099999999996</v>
      </c>
      <c r="C623" s="46">
        <v>4.839333581819911E-4</v>
      </c>
      <c r="D623" s="46" t="s">
        <v>49</v>
      </c>
    </row>
    <row r="624" spans="1:4" x14ac:dyDescent="0.2">
      <c r="A624" s="13" t="s">
        <v>29</v>
      </c>
      <c r="B624" s="19">
        <v>3503.9379999999996</v>
      </c>
      <c r="C624" s="46">
        <v>4.9422689245982702E-4</v>
      </c>
      <c r="D624" s="46" t="s">
        <v>49</v>
      </c>
    </row>
    <row r="625" spans="1:4" x14ac:dyDescent="0.2">
      <c r="A625" s="13" t="s">
        <v>29</v>
      </c>
      <c r="B625" s="19">
        <v>3503.9379999999996</v>
      </c>
      <c r="C625" s="46">
        <v>5.0521646572216402E-4</v>
      </c>
      <c r="D625" s="46" t="s">
        <v>49</v>
      </c>
    </row>
    <row r="626" spans="1:4" x14ac:dyDescent="0.2">
      <c r="A626" s="13" t="s">
        <v>29</v>
      </c>
      <c r="B626" s="19">
        <v>3916.1659999999997</v>
      </c>
      <c r="C626" s="46">
        <v>5.0671638071693448E-4</v>
      </c>
      <c r="D626" s="46" t="s">
        <v>49</v>
      </c>
    </row>
    <row r="627" spans="1:4" x14ac:dyDescent="0.2">
      <c r="A627" s="13" t="s">
        <v>29</v>
      </c>
      <c r="B627" s="19">
        <v>3916.1659999999997</v>
      </c>
      <c r="C627" s="46">
        <v>4.6537558638394983E-4</v>
      </c>
      <c r="D627" s="46" t="s">
        <v>49</v>
      </c>
    </row>
    <row r="628" spans="1:4" x14ac:dyDescent="0.2">
      <c r="A628" s="13" t="s">
        <v>29</v>
      </c>
      <c r="B628" s="19">
        <v>4328.3939999999993</v>
      </c>
      <c r="C628" s="46">
        <v>4.6836561300751166E-4</v>
      </c>
      <c r="D628" s="46" t="s">
        <v>49</v>
      </c>
    </row>
    <row r="629" spans="1:4" x14ac:dyDescent="0.2">
      <c r="A629" s="13" t="s">
        <v>29</v>
      </c>
      <c r="B629" s="19">
        <v>4328.3939999999993</v>
      </c>
      <c r="C629" s="46">
        <v>4.8028650603784353E-4</v>
      </c>
      <c r="D629" s="46" t="s">
        <v>49</v>
      </c>
    </row>
    <row r="630" spans="1:4" x14ac:dyDescent="0.2">
      <c r="A630" s="13" t="s">
        <v>29</v>
      </c>
      <c r="B630" s="19">
        <v>4740.6219999999994</v>
      </c>
      <c r="C630" s="46">
        <v>4.6689510811067796E-4</v>
      </c>
      <c r="D630" s="46" t="s">
        <v>49</v>
      </c>
    </row>
    <row r="631" spans="1:4" x14ac:dyDescent="0.2">
      <c r="A631" s="13" t="s">
        <v>29</v>
      </c>
      <c r="B631" s="19">
        <v>4740.6219999999994</v>
      </c>
      <c r="C631" s="46">
        <v>5.0731438604164681E-4</v>
      </c>
      <c r="D631" s="46" t="s">
        <v>49</v>
      </c>
    </row>
    <row r="632" spans="1:4" x14ac:dyDescent="0.2">
      <c r="A632" s="13" t="s">
        <v>29</v>
      </c>
      <c r="B632" s="19">
        <v>5152.8500000000004</v>
      </c>
      <c r="C632" s="46">
        <v>4.9973638413996384E-4</v>
      </c>
      <c r="D632" s="46" t="s">
        <v>49</v>
      </c>
    </row>
    <row r="633" spans="1:4" x14ac:dyDescent="0.2">
      <c r="A633" s="13" t="s">
        <v>29</v>
      </c>
      <c r="B633" s="19">
        <v>5152.8500000000004</v>
      </c>
      <c r="C633" s="46">
        <v>5.5537048607017209E-4</v>
      </c>
      <c r="D633" s="46" t="s">
        <v>49</v>
      </c>
    </row>
    <row r="634" spans="1:4" x14ac:dyDescent="0.2">
      <c r="A634" s="13" t="s">
        <v>29</v>
      </c>
      <c r="B634" s="19">
        <v>0</v>
      </c>
      <c r="C634" s="46">
        <v>3.1818791669732866E-6</v>
      </c>
      <c r="D634" s="46" t="s">
        <v>50</v>
      </c>
    </row>
    <row r="635" spans="1:4" x14ac:dyDescent="0.2">
      <c r="A635" s="13" t="s">
        <v>29</v>
      </c>
      <c r="B635" s="19">
        <v>51.528499999999994</v>
      </c>
      <c r="C635" s="45">
        <v>4.7679534917948337E-7</v>
      </c>
      <c r="D635" s="46" t="s">
        <v>50</v>
      </c>
    </row>
    <row r="636" spans="1:4" x14ac:dyDescent="0.2">
      <c r="A636" s="13" t="s">
        <v>29</v>
      </c>
      <c r="B636" s="19">
        <v>103.05699999999999</v>
      </c>
      <c r="C636" s="46">
        <v>9.3218356023254085E-6</v>
      </c>
      <c r="D636" s="46" t="s">
        <v>50</v>
      </c>
    </row>
    <row r="637" spans="1:4" x14ac:dyDescent="0.2">
      <c r="A637" s="13" t="s">
        <v>29</v>
      </c>
      <c r="B637" s="19">
        <v>103.05699999999999</v>
      </c>
      <c r="C637" s="46">
        <v>6.422141437927735E-6</v>
      </c>
      <c r="D637" s="46" t="s">
        <v>50</v>
      </c>
    </row>
    <row r="638" spans="1:4" x14ac:dyDescent="0.2">
      <c r="A638" s="13" t="s">
        <v>29</v>
      </c>
      <c r="B638" s="19">
        <v>154.5855</v>
      </c>
      <c r="C638" s="46">
        <v>2.0862229155934945E-5</v>
      </c>
      <c r="D638" s="46" t="s">
        <v>50</v>
      </c>
    </row>
    <row r="639" spans="1:4" x14ac:dyDescent="0.2">
      <c r="A639" s="13" t="s">
        <v>29</v>
      </c>
      <c r="B639" s="19">
        <v>154.5855</v>
      </c>
      <c r="C639" s="46">
        <v>1.7407895503716239E-5</v>
      </c>
      <c r="D639" s="46" t="s">
        <v>50</v>
      </c>
    </row>
    <row r="640" spans="1:4" x14ac:dyDescent="0.2">
      <c r="A640" s="13" t="s">
        <v>29</v>
      </c>
      <c r="B640" s="19">
        <v>206.11399999999998</v>
      </c>
      <c r="C640" s="46">
        <v>3.6995426889395836E-5</v>
      </c>
      <c r="D640" s="46" t="s">
        <v>50</v>
      </c>
    </row>
    <row r="641" spans="1:4" x14ac:dyDescent="0.2">
      <c r="A641" s="13" t="s">
        <v>29</v>
      </c>
      <c r="B641" s="19">
        <v>206.11399999999998</v>
      </c>
      <c r="C641" s="46">
        <v>3.1137655456619323E-5</v>
      </c>
      <c r="D641" s="46" t="s">
        <v>50</v>
      </c>
    </row>
    <row r="642" spans="1:4" x14ac:dyDescent="0.2">
      <c r="A642" s="13" t="s">
        <v>29</v>
      </c>
      <c r="B642" s="19">
        <v>309.17099999999999</v>
      </c>
      <c r="C642" s="46">
        <v>8.5142026639193448E-5</v>
      </c>
      <c r="D642" s="46" t="s">
        <v>50</v>
      </c>
    </row>
    <row r="643" spans="1:4" x14ac:dyDescent="0.2">
      <c r="A643" s="13" t="s">
        <v>29</v>
      </c>
      <c r="B643" s="19">
        <v>309.17099999999999</v>
      </c>
      <c r="C643" s="46">
        <v>7.5596389138273592E-5</v>
      </c>
      <c r="D643" s="46" t="s">
        <v>50</v>
      </c>
    </row>
    <row r="644" spans="1:4" x14ac:dyDescent="0.2">
      <c r="A644" s="13" t="s">
        <v>29</v>
      </c>
      <c r="B644" s="19">
        <v>412.22799999999995</v>
      </c>
      <c r="C644" s="46">
        <v>1.4907152549856501E-4</v>
      </c>
      <c r="D644" s="46" t="s">
        <v>50</v>
      </c>
    </row>
    <row r="645" spans="1:4" x14ac:dyDescent="0.2">
      <c r="A645" s="13" t="s">
        <v>29</v>
      </c>
      <c r="B645" s="19">
        <v>412.22799999999995</v>
      </c>
      <c r="C645" s="46">
        <v>1.302818965339613E-4</v>
      </c>
      <c r="D645" s="46" t="s">
        <v>50</v>
      </c>
    </row>
    <row r="646" spans="1:4" x14ac:dyDescent="0.2">
      <c r="A646" s="13" t="s">
        <v>29</v>
      </c>
      <c r="B646" s="19">
        <v>515.28499999999997</v>
      </c>
      <c r="C646" s="46">
        <v>2.1135656692913382E-4</v>
      </c>
      <c r="D646" s="46" t="s">
        <v>50</v>
      </c>
    </row>
    <row r="647" spans="1:4" x14ac:dyDescent="0.2">
      <c r="A647" s="13" t="s">
        <v>29</v>
      </c>
      <c r="B647" s="19">
        <v>515.28499999999997</v>
      </c>
      <c r="C647" s="46">
        <v>1.9282966193244532E-4</v>
      </c>
      <c r="D647" s="46" t="s">
        <v>50</v>
      </c>
    </row>
    <row r="648" spans="1:4" x14ac:dyDescent="0.2">
      <c r="A648" s="13" t="s">
        <v>29</v>
      </c>
      <c r="B648" s="19">
        <v>618.34199999999998</v>
      </c>
      <c r="C648" s="46">
        <v>2.8183470395172565E-4</v>
      </c>
      <c r="D648" s="46" t="s">
        <v>50</v>
      </c>
    </row>
    <row r="649" spans="1:4" x14ac:dyDescent="0.2">
      <c r="A649" s="13" t="s">
        <v>29</v>
      </c>
      <c r="B649" s="19">
        <v>618.34199999999998</v>
      </c>
      <c r="C649" s="46">
        <v>2.678422200309073E-4</v>
      </c>
      <c r="D649" s="46" t="s">
        <v>50</v>
      </c>
    </row>
    <row r="650" spans="1:4" x14ac:dyDescent="0.2">
      <c r="A650" s="13" t="s">
        <v>29</v>
      </c>
      <c r="B650" s="19">
        <v>721.39899999999989</v>
      </c>
      <c r="C650" s="46">
        <v>3.1736082272426224E-4</v>
      </c>
      <c r="D650" s="46" t="s">
        <v>50</v>
      </c>
    </row>
    <row r="651" spans="1:4" x14ac:dyDescent="0.2">
      <c r="A651" s="13" t="s">
        <v>29</v>
      </c>
      <c r="B651" s="19">
        <v>721.39899999999989</v>
      </c>
      <c r="C651" s="46">
        <v>3.7026564544852459E-4</v>
      </c>
      <c r="D651" s="46" t="s">
        <v>50</v>
      </c>
    </row>
    <row r="652" spans="1:4" x14ac:dyDescent="0.2">
      <c r="A652" s="13" t="s">
        <v>29</v>
      </c>
      <c r="B652" s="19">
        <v>824.4559999999999</v>
      </c>
      <c r="C652" s="46">
        <v>3.73807553756715E-4</v>
      </c>
      <c r="D652" s="46" t="s">
        <v>50</v>
      </c>
    </row>
    <row r="653" spans="1:4" x14ac:dyDescent="0.2">
      <c r="A653" s="13" t="s">
        <v>29</v>
      </c>
      <c r="B653" s="19">
        <v>824.4559999999999</v>
      </c>
      <c r="C653" s="46">
        <v>3.4794383869306056E-4</v>
      </c>
      <c r="D653" s="46" t="s">
        <v>50</v>
      </c>
    </row>
    <row r="654" spans="1:4" x14ac:dyDescent="0.2">
      <c r="A654" s="13" t="s">
        <v>29</v>
      </c>
      <c r="B654" s="19">
        <v>927.51300000000003</v>
      </c>
      <c r="C654" s="46">
        <v>1.3927289454706011E-4</v>
      </c>
      <c r="D654" s="46" t="s">
        <v>50</v>
      </c>
    </row>
    <row r="655" spans="1:4" x14ac:dyDescent="0.2">
      <c r="A655" s="13" t="s">
        <v>29</v>
      </c>
      <c r="B655" s="19">
        <v>927.51300000000003</v>
      </c>
      <c r="C655" s="46">
        <v>4.1747811553462352E-4</v>
      </c>
      <c r="D655" s="46" t="s">
        <v>50</v>
      </c>
    </row>
    <row r="656" spans="1:4" x14ac:dyDescent="0.2">
      <c r="A656" s="13" t="s">
        <v>29</v>
      </c>
      <c r="B656" s="19">
        <v>1030.57</v>
      </c>
      <c r="C656" s="46">
        <v>4.0258069350209726E-4</v>
      </c>
      <c r="D656" s="46" t="s">
        <v>50</v>
      </c>
    </row>
    <row r="657" spans="1:4" x14ac:dyDescent="0.2">
      <c r="A657" s="13" t="s">
        <v>29</v>
      </c>
      <c r="B657" s="19">
        <v>1030.57</v>
      </c>
      <c r="C657" s="46">
        <v>4.3810681227463385E-4</v>
      </c>
      <c r="D657" s="46" t="s">
        <v>50</v>
      </c>
    </row>
    <row r="658" spans="1:4" x14ac:dyDescent="0.2">
      <c r="A658" s="13" t="s">
        <v>29</v>
      </c>
      <c r="B658" s="19">
        <v>1236.684</v>
      </c>
      <c r="C658" s="46">
        <v>4.0240554419015376E-4</v>
      </c>
      <c r="D658" s="46" t="s">
        <v>50</v>
      </c>
    </row>
    <row r="659" spans="1:4" x14ac:dyDescent="0.2">
      <c r="A659" s="13" t="s">
        <v>29</v>
      </c>
      <c r="B659" s="19">
        <v>1236.684</v>
      </c>
      <c r="C659" s="46">
        <v>4.1866523864890714E-4</v>
      </c>
      <c r="D659" s="46" t="s">
        <v>50</v>
      </c>
    </row>
    <row r="660" spans="1:4" x14ac:dyDescent="0.2">
      <c r="A660" s="13" t="s">
        <v>29</v>
      </c>
      <c r="B660" s="19">
        <v>1442.7979999999998</v>
      </c>
      <c r="C660" s="46">
        <v>3.870994404297593E-4</v>
      </c>
      <c r="D660" s="46" t="s">
        <v>50</v>
      </c>
    </row>
    <row r="661" spans="1:4" x14ac:dyDescent="0.2">
      <c r="A661" s="13" t="s">
        <v>29</v>
      </c>
      <c r="B661" s="19">
        <v>1442.7979999999998</v>
      </c>
      <c r="C661" s="46">
        <v>4.0042051865479426E-4</v>
      </c>
      <c r="D661" s="46" t="s">
        <v>50</v>
      </c>
    </row>
    <row r="662" spans="1:4" x14ac:dyDescent="0.2">
      <c r="A662" s="13" t="s">
        <v>29</v>
      </c>
      <c r="B662" s="19">
        <v>1648.9119999999998</v>
      </c>
      <c r="C662" s="46">
        <v>3.6481655574361612E-4</v>
      </c>
      <c r="D662" s="46" t="s">
        <v>50</v>
      </c>
    </row>
    <row r="663" spans="1:4" x14ac:dyDescent="0.2">
      <c r="A663" s="13" t="s">
        <v>29</v>
      </c>
      <c r="B663" s="19">
        <v>1648.9119999999998</v>
      </c>
      <c r="C663" s="46">
        <v>4.6662695856943112E-4</v>
      </c>
      <c r="D663" s="46" t="s">
        <v>50</v>
      </c>
    </row>
    <row r="664" spans="1:4" x14ac:dyDescent="0.2">
      <c r="A664" s="13" t="s">
        <v>29</v>
      </c>
      <c r="B664" s="19">
        <v>1855.0260000000001</v>
      </c>
      <c r="C664" s="46">
        <v>3.6687942541761712E-4</v>
      </c>
      <c r="D664" s="46" t="s">
        <v>50</v>
      </c>
    </row>
    <row r="665" spans="1:4" x14ac:dyDescent="0.2">
      <c r="A665" s="13" t="s">
        <v>29</v>
      </c>
      <c r="B665" s="19">
        <v>1855.0260000000001</v>
      </c>
      <c r="C665" s="46">
        <v>3.9595421120023543E-4</v>
      </c>
      <c r="D665" s="46" t="s">
        <v>50</v>
      </c>
    </row>
    <row r="666" spans="1:4" x14ac:dyDescent="0.2">
      <c r="A666" s="13" t="s">
        <v>29</v>
      </c>
      <c r="B666" s="19">
        <v>2061.14</v>
      </c>
      <c r="C666" s="46">
        <v>3.8326561660166305E-4</v>
      </c>
      <c r="D666" s="46" t="s">
        <v>50</v>
      </c>
    </row>
    <row r="667" spans="1:4" x14ac:dyDescent="0.2">
      <c r="A667" s="13" t="s">
        <v>29</v>
      </c>
      <c r="B667" s="19">
        <v>2061.14</v>
      </c>
      <c r="C667" s="46">
        <v>3.3996481448230186E-4</v>
      </c>
      <c r="D667" s="46" t="s">
        <v>50</v>
      </c>
    </row>
    <row r="668" spans="1:4" x14ac:dyDescent="0.2">
      <c r="A668" s="13" t="s">
        <v>29</v>
      </c>
      <c r="B668" s="19">
        <v>2267.2539999999999</v>
      </c>
      <c r="C668" s="46">
        <v>4.1560985620722648E-4</v>
      </c>
      <c r="D668" s="46" t="s">
        <v>50</v>
      </c>
    </row>
    <row r="669" spans="1:4" x14ac:dyDescent="0.2">
      <c r="A669" s="13" t="s">
        <v>29</v>
      </c>
      <c r="B669" s="19">
        <v>2267.2539999999999</v>
      </c>
      <c r="C669" s="46">
        <v>3.4945206887924057E-4</v>
      </c>
      <c r="D669" s="46" t="s">
        <v>50</v>
      </c>
    </row>
    <row r="670" spans="1:4" x14ac:dyDescent="0.2">
      <c r="A670" s="13" t="s">
        <v>29</v>
      </c>
      <c r="B670" s="19">
        <v>2679.4819999999995</v>
      </c>
      <c r="C670" s="46">
        <v>3.4870281904481564E-4</v>
      </c>
      <c r="D670" s="46" t="s">
        <v>50</v>
      </c>
    </row>
    <row r="671" spans="1:4" x14ac:dyDescent="0.2">
      <c r="A671" s="13" t="s">
        <v>29</v>
      </c>
      <c r="B671" s="19">
        <v>2679.4819999999995</v>
      </c>
      <c r="C671" s="46">
        <v>3.4364295003311502E-4</v>
      </c>
      <c r="D671" s="46" t="s">
        <v>50</v>
      </c>
    </row>
    <row r="672" spans="1:4" x14ac:dyDescent="0.2">
      <c r="A672" s="13" t="s">
        <v>29</v>
      </c>
      <c r="B672" s="19">
        <v>3091.7099999999996</v>
      </c>
      <c r="C672" s="46">
        <v>3.5324697063801602E-4</v>
      </c>
      <c r="D672" s="46" t="s">
        <v>50</v>
      </c>
    </row>
    <row r="673" spans="1:4" x14ac:dyDescent="0.2">
      <c r="A673" s="13" t="s">
        <v>29</v>
      </c>
      <c r="B673" s="19">
        <v>3091.7099999999996</v>
      </c>
      <c r="C673" s="46">
        <v>3.5081434130546763E-4</v>
      </c>
      <c r="D673" s="46" t="s">
        <v>50</v>
      </c>
    </row>
    <row r="674" spans="1:4" x14ac:dyDescent="0.2">
      <c r="A674" s="13" t="s">
        <v>29</v>
      </c>
      <c r="B674" s="19">
        <v>3503.9379999999996</v>
      </c>
      <c r="C674" s="46">
        <v>3.5004563043638235E-4</v>
      </c>
      <c r="D674" s="46" t="s">
        <v>50</v>
      </c>
    </row>
    <row r="675" spans="1:4" x14ac:dyDescent="0.2">
      <c r="A675" s="13" t="s">
        <v>29</v>
      </c>
      <c r="B675" s="19">
        <v>3503.9379999999996</v>
      </c>
      <c r="C675" s="46">
        <v>3.5688618411950837E-4</v>
      </c>
      <c r="D675" s="46" t="s">
        <v>50</v>
      </c>
    </row>
    <row r="676" spans="1:4" x14ac:dyDescent="0.2">
      <c r="A676" s="13" t="s">
        <v>29</v>
      </c>
      <c r="B676" s="19">
        <v>3916.1659999999997</v>
      </c>
      <c r="C676" s="46">
        <v>3.5144682493193022E-4</v>
      </c>
      <c r="D676" s="46" t="s">
        <v>50</v>
      </c>
    </row>
    <row r="677" spans="1:4" x14ac:dyDescent="0.2">
      <c r="A677" s="13" t="s">
        <v>29</v>
      </c>
      <c r="B677" s="19">
        <v>3916.1659999999997</v>
      </c>
      <c r="C677" s="46">
        <v>3.2152548414158508E-4</v>
      </c>
      <c r="D677" s="46" t="s">
        <v>50</v>
      </c>
    </row>
    <row r="678" spans="1:4" x14ac:dyDescent="0.2">
      <c r="A678" s="13" t="s">
        <v>29</v>
      </c>
      <c r="B678" s="19">
        <v>4328.3939999999993</v>
      </c>
      <c r="C678" s="46">
        <v>3.2262503259989695E-4</v>
      </c>
      <c r="D678" s="46" t="s">
        <v>50</v>
      </c>
    </row>
    <row r="679" spans="1:4" x14ac:dyDescent="0.2">
      <c r="A679" s="13" t="s">
        <v>29</v>
      </c>
      <c r="B679" s="19">
        <v>4328.3939999999993</v>
      </c>
      <c r="C679" s="46">
        <v>3.3238474148208105E-4</v>
      </c>
      <c r="D679" s="46" t="s">
        <v>50</v>
      </c>
    </row>
    <row r="680" spans="1:4" x14ac:dyDescent="0.2">
      <c r="A680" s="13" t="s">
        <v>29</v>
      </c>
      <c r="B680" s="19">
        <v>4740.6219999999994</v>
      </c>
      <c r="C680" s="46">
        <v>3.2333536036500103E-4</v>
      </c>
      <c r="D680" s="46" t="s">
        <v>50</v>
      </c>
    </row>
    <row r="681" spans="1:4" x14ac:dyDescent="0.2">
      <c r="A681" s="13" t="s">
        <v>29</v>
      </c>
      <c r="B681" s="19">
        <v>4740.6219999999994</v>
      </c>
      <c r="C681" s="46">
        <v>3.4894608197807048E-4</v>
      </c>
      <c r="D681" s="46" t="s">
        <v>50</v>
      </c>
    </row>
    <row r="682" spans="1:4" x14ac:dyDescent="0.2">
      <c r="A682" s="13" t="s">
        <v>29</v>
      </c>
      <c r="B682" s="19">
        <v>5152.8500000000004</v>
      </c>
      <c r="C682" s="46">
        <v>3.3932260033850902E-4</v>
      </c>
      <c r="D682" s="46" t="s">
        <v>50</v>
      </c>
    </row>
    <row r="683" spans="1:4" x14ac:dyDescent="0.2">
      <c r="A683" s="13" t="s">
        <v>29</v>
      </c>
      <c r="B683" s="19">
        <v>5152.8500000000004</v>
      </c>
      <c r="C683" s="46">
        <v>3.6298721848553977E-4</v>
      </c>
      <c r="D683" s="46" t="s">
        <v>50</v>
      </c>
    </row>
    <row r="684" spans="1:4" x14ac:dyDescent="0.2">
      <c r="A684" s="13" t="s">
        <v>29</v>
      </c>
      <c r="B684" s="19">
        <v>0</v>
      </c>
      <c r="C684" s="46">
        <v>2.2543692332040829E-6</v>
      </c>
      <c r="D684" s="46" t="s">
        <v>54</v>
      </c>
    </row>
    <row r="685" spans="1:4" x14ac:dyDescent="0.2">
      <c r="A685" s="13" t="s">
        <v>29</v>
      </c>
      <c r="B685" s="19">
        <v>51.528499999999994</v>
      </c>
      <c r="C685" s="45">
        <v>0</v>
      </c>
      <c r="D685" s="46" t="s">
        <v>54</v>
      </c>
    </row>
    <row r="686" spans="1:4" x14ac:dyDescent="0.2">
      <c r="A686" s="13" t="s">
        <v>29</v>
      </c>
      <c r="B686" s="19">
        <v>103.05699999999999</v>
      </c>
      <c r="C686" s="46">
        <v>9.4517201867531849E-6</v>
      </c>
      <c r="D686" s="46" t="s">
        <v>54</v>
      </c>
    </row>
    <row r="687" spans="1:4" x14ac:dyDescent="0.2">
      <c r="A687" s="13" t="s">
        <v>29</v>
      </c>
      <c r="B687" s="19">
        <v>103.05699999999999</v>
      </c>
      <c r="C687" s="46">
        <v>3.6864480493788076E-6</v>
      </c>
      <c r="D687" s="46" t="s">
        <v>54</v>
      </c>
    </row>
    <row r="688" spans="1:4" x14ac:dyDescent="0.2">
      <c r="A688" s="13" t="s">
        <v>29</v>
      </c>
      <c r="B688" s="19">
        <v>154.5855</v>
      </c>
      <c r="C688" s="46">
        <v>1.6307220068054127E-5</v>
      </c>
      <c r="D688" s="46" t="s">
        <v>54</v>
      </c>
    </row>
    <row r="689" spans="1:4" x14ac:dyDescent="0.2">
      <c r="A689" s="13" t="s">
        <v>29</v>
      </c>
      <c r="B689" s="19">
        <v>154.5855</v>
      </c>
      <c r="C689" s="46">
        <v>9.9044418770277748E-6</v>
      </c>
      <c r="D689" s="46" t="s">
        <v>54</v>
      </c>
    </row>
    <row r="690" spans="1:4" x14ac:dyDescent="0.2">
      <c r="A690" s="13" t="s">
        <v>29</v>
      </c>
      <c r="B690" s="19">
        <v>206.11399999999998</v>
      </c>
      <c r="C690" s="46">
        <v>2.4788822347076042E-5</v>
      </c>
      <c r="D690" s="46" t="s">
        <v>54</v>
      </c>
    </row>
    <row r="691" spans="1:4" x14ac:dyDescent="0.2">
      <c r="A691" s="13" t="s">
        <v>29</v>
      </c>
      <c r="B691" s="19">
        <v>206.11399999999998</v>
      </c>
      <c r="C691" s="46">
        <v>1.520775310595869E-5</v>
      </c>
      <c r="D691" s="46" t="s">
        <v>54</v>
      </c>
    </row>
    <row r="692" spans="1:4" x14ac:dyDescent="0.2">
      <c r="A692" s="13" t="s">
        <v>29</v>
      </c>
      <c r="B692" s="19">
        <v>309.17099999999999</v>
      </c>
      <c r="C692" s="46">
        <v>4.8376546332199084E-5</v>
      </c>
      <c r="D692" s="46" t="s">
        <v>54</v>
      </c>
    </row>
    <row r="693" spans="1:4" x14ac:dyDescent="0.2">
      <c r="A693" s="13" t="s">
        <v>29</v>
      </c>
      <c r="B693" s="19">
        <v>309.17099999999999</v>
      </c>
      <c r="C693" s="46">
        <v>3.9562332199097886E-5</v>
      </c>
      <c r="D693" s="46" t="s">
        <v>54</v>
      </c>
    </row>
    <row r="694" spans="1:4" x14ac:dyDescent="0.2">
      <c r="A694" s="13" t="s">
        <v>29</v>
      </c>
      <c r="B694" s="19">
        <v>412.22799999999995</v>
      </c>
      <c r="C694" s="46">
        <v>7.9632821397483585E-5</v>
      </c>
      <c r="D694" s="46" t="s">
        <v>54</v>
      </c>
    </row>
    <row r="695" spans="1:4" x14ac:dyDescent="0.2">
      <c r="A695" s="13" t="s">
        <v>29</v>
      </c>
      <c r="B695" s="19">
        <v>412.22799999999995</v>
      </c>
      <c r="C695" s="46">
        <v>7.17055722085938E-5</v>
      </c>
      <c r="D695" s="46" t="s">
        <v>54</v>
      </c>
    </row>
    <row r="696" spans="1:4" x14ac:dyDescent="0.2">
      <c r="A696" s="13" t="s">
        <v>29</v>
      </c>
      <c r="B696" s="19">
        <v>515.28499999999997</v>
      </c>
      <c r="C696" s="46">
        <v>1.1160975547993985E-4</v>
      </c>
      <c r="D696" s="46" t="s">
        <v>54</v>
      </c>
    </row>
    <row r="697" spans="1:4" x14ac:dyDescent="0.2">
      <c r="A697" s="13" t="s">
        <v>29</v>
      </c>
      <c r="B697" s="19">
        <v>515.28499999999997</v>
      </c>
      <c r="C697" s="46">
        <v>1.0737819355859777E-4</v>
      </c>
      <c r="D697" s="46" t="s">
        <v>54</v>
      </c>
    </row>
    <row r="698" spans="1:4" x14ac:dyDescent="0.2">
      <c r="A698" s="13" t="s">
        <v>29</v>
      </c>
      <c r="B698" s="19">
        <v>618.34199999999998</v>
      </c>
      <c r="C698" s="46">
        <v>1.4954598528131677E-4</v>
      </c>
      <c r="D698" s="46" t="s">
        <v>54</v>
      </c>
    </row>
    <row r="699" spans="1:4" x14ac:dyDescent="0.2">
      <c r="A699" s="13" t="s">
        <v>29</v>
      </c>
      <c r="B699" s="19">
        <v>618.34199999999998</v>
      </c>
      <c r="C699" s="46">
        <v>1.608732667563504E-4</v>
      </c>
      <c r="D699" s="46" t="s">
        <v>54</v>
      </c>
    </row>
    <row r="700" spans="1:4" x14ac:dyDescent="0.2">
      <c r="A700" s="13" t="s">
        <v>29</v>
      </c>
      <c r="B700" s="19">
        <v>721.39899999999989</v>
      </c>
      <c r="C700" s="46">
        <v>1.9600077423439106E-4</v>
      </c>
      <c r="D700" s="46" t="s">
        <v>54</v>
      </c>
    </row>
    <row r="701" spans="1:4" x14ac:dyDescent="0.2">
      <c r="A701" s="13" t="s">
        <v>29</v>
      </c>
      <c r="B701" s="19">
        <v>721.39899999999989</v>
      </c>
      <c r="C701" s="46">
        <v>2.1280691208356412E-4</v>
      </c>
      <c r="D701" s="46" t="s">
        <v>54</v>
      </c>
    </row>
    <row r="702" spans="1:4" x14ac:dyDescent="0.2">
      <c r="A702" s="13" t="s">
        <v>29</v>
      </c>
      <c r="B702" s="19">
        <v>824.4559999999999</v>
      </c>
      <c r="C702" s="46">
        <v>2.2348744828677692E-4</v>
      </c>
      <c r="D702" s="46" t="s">
        <v>54</v>
      </c>
    </row>
    <row r="703" spans="1:4" x14ac:dyDescent="0.2">
      <c r="A703" s="13" t="s">
        <v>29</v>
      </c>
      <c r="B703" s="19">
        <v>824.4559999999999</v>
      </c>
      <c r="C703" s="46">
        <v>2.1449768900846716E-4</v>
      </c>
      <c r="D703" s="46" t="s">
        <v>54</v>
      </c>
    </row>
    <row r="704" spans="1:4" x14ac:dyDescent="0.2">
      <c r="A704" s="13" t="s">
        <v>29</v>
      </c>
      <c r="B704" s="19">
        <v>927.51300000000003</v>
      </c>
      <c r="C704" s="46">
        <v>8.0612178523383705E-5</v>
      </c>
      <c r="D704" s="46" t="s">
        <v>54</v>
      </c>
    </row>
    <row r="705" spans="1:4" x14ac:dyDescent="0.2">
      <c r="A705" s="13" t="s">
        <v>29</v>
      </c>
      <c r="B705" s="19">
        <v>927.51300000000003</v>
      </c>
      <c r="C705" s="46">
        <v>2.8672989665268656E-4</v>
      </c>
      <c r="D705" s="46" t="s">
        <v>54</v>
      </c>
    </row>
    <row r="706" spans="1:4" x14ac:dyDescent="0.2">
      <c r="A706" s="13" t="s">
        <v>29</v>
      </c>
      <c r="B706" s="19">
        <v>1030.57</v>
      </c>
      <c r="C706" s="46">
        <v>2.9622781293028411E-4</v>
      </c>
      <c r="D706" s="46" t="s">
        <v>54</v>
      </c>
    </row>
    <row r="707" spans="1:4" x14ac:dyDescent="0.2">
      <c r="A707" s="13" t="s">
        <v>29</v>
      </c>
      <c r="B707" s="19">
        <v>1030.57</v>
      </c>
      <c r="C707" s="46">
        <v>2.9002829753897285E-4</v>
      </c>
      <c r="D707" s="46" t="s">
        <v>54</v>
      </c>
    </row>
    <row r="708" spans="1:4" x14ac:dyDescent="0.2">
      <c r="A708" s="13" t="s">
        <v>29</v>
      </c>
      <c r="B708" s="19">
        <v>1236.684</v>
      </c>
      <c r="C708" s="46">
        <v>3.2102587449552895E-4</v>
      </c>
      <c r="D708" s="46" t="s">
        <v>54</v>
      </c>
    </row>
    <row r="709" spans="1:4" x14ac:dyDescent="0.2">
      <c r="A709" s="13" t="s">
        <v>29</v>
      </c>
      <c r="B709" s="19">
        <v>1236.684</v>
      </c>
      <c r="C709" s="46">
        <v>3.4432718271741705E-4</v>
      </c>
      <c r="D709" s="46" t="s">
        <v>54</v>
      </c>
    </row>
    <row r="710" spans="1:4" x14ac:dyDescent="0.2">
      <c r="A710" s="13" t="s">
        <v>29</v>
      </c>
      <c r="B710" s="19">
        <v>1442.7979999999998</v>
      </c>
      <c r="C710" s="46">
        <v>3.3290750906069476E-4</v>
      </c>
      <c r="D710" s="46" t="s">
        <v>54</v>
      </c>
    </row>
    <row r="711" spans="1:4" x14ac:dyDescent="0.2">
      <c r="A711" s="13" t="s">
        <v>29</v>
      </c>
      <c r="B711" s="19">
        <v>1442.7979999999998</v>
      </c>
      <c r="C711" s="46">
        <v>3.4380054728179156E-4</v>
      </c>
      <c r="D711" s="46" t="s">
        <v>54</v>
      </c>
    </row>
    <row r="712" spans="1:4" x14ac:dyDescent="0.2">
      <c r="A712" s="13" t="s">
        <v>29</v>
      </c>
      <c r="B712" s="19">
        <v>1648.9119999999998</v>
      </c>
      <c r="C712" s="46">
        <v>3.4285814702856681E-4</v>
      </c>
      <c r="D712" s="46" t="s">
        <v>54</v>
      </c>
    </row>
    <row r="713" spans="1:4" x14ac:dyDescent="0.2">
      <c r="A713" s="13" t="s">
        <v>29</v>
      </c>
      <c r="B713" s="19">
        <v>1648.9119999999998</v>
      </c>
      <c r="C713" s="46">
        <v>4.0248806109044867E-4</v>
      </c>
      <c r="D713" s="46" t="s">
        <v>54</v>
      </c>
    </row>
    <row r="714" spans="1:4" x14ac:dyDescent="0.2">
      <c r="A714" s="13" t="s">
        <v>29</v>
      </c>
      <c r="B714" s="19">
        <v>1855.0260000000001</v>
      </c>
      <c r="C714" s="46">
        <v>3.4929788209226873E-4</v>
      </c>
      <c r="D714" s="46" t="s">
        <v>54</v>
      </c>
    </row>
    <row r="715" spans="1:4" x14ac:dyDescent="0.2">
      <c r="A715" s="13" t="s">
        <v>29</v>
      </c>
      <c r="B715" s="19">
        <v>1855.0260000000001</v>
      </c>
      <c r="C715" s="46">
        <v>3.4995386658225839E-4</v>
      </c>
      <c r="D715" s="46" t="s">
        <v>54</v>
      </c>
    </row>
    <row r="716" spans="1:4" x14ac:dyDescent="0.2">
      <c r="A716" s="13" t="s">
        <v>29</v>
      </c>
      <c r="B716" s="19">
        <v>2061.14</v>
      </c>
      <c r="C716" s="46">
        <v>3.4894679180185172E-4</v>
      </c>
      <c r="D716" s="46" t="s">
        <v>54</v>
      </c>
    </row>
    <row r="717" spans="1:4" x14ac:dyDescent="0.2">
      <c r="A717" s="13" t="s">
        <v>29</v>
      </c>
      <c r="B717" s="19">
        <v>2061.14</v>
      </c>
      <c r="C717" s="46">
        <v>3.2504493439898714E-4</v>
      </c>
      <c r="D717" s="46" t="s">
        <v>54</v>
      </c>
    </row>
    <row r="718" spans="1:4" x14ac:dyDescent="0.2">
      <c r="A718" s="13" t="s">
        <v>29</v>
      </c>
      <c r="B718" s="19">
        <v>2267.2539999999999</v>
      </c>
      <c r="C718" s="46">
        <v>3.8720639423913908E-4</v>
      </c>
      <c r="D718" s="46" t="s">
        <v>54</v>
      </c>
    </row>
    <row r="719" spans="1:4" x14ac:dyDescent="0.2">
      <c r="A719" s="13" t="s">
        <v>29</v>
      </c>
      <c r="B719" s="19">
        <v>2267.2539999999999</v>
      </c>
      <c r="C719" s="46">
        <v>3.2886997072089892E-4</v>
      </c>
      <c r="D719" s="46" t="s">
        <v>54</v>
      </c>
    </row>
    <row r="720" spans="1:4" x14ac:dyDescent="0.2">
      <c r="A720" s="13" t="s">
        <v>29</v>
      </c>
      <c r="B720" s="19">
        <v>2679.4819999999995</v>
      </c>
      <c r="C720" s="46">
        <v>3.045708269367729E-4</v>
      </c>
      <c r="D720" s="46" t="s">
        <v>54</v>
      </c>
    </row>
    <row r="721" spans="1:4" x14ac:dyDescent="0.2">
      <c r="A721" s="13" t="s">
        <v>29</v>
      </c>
      <c r="B721" s="19">
        <v>2679.4819999999995</v>
      </c>
      <c r="C721" s="46">
        <v>2.9471258115058944E-4</v>
      </c>
      <c r="D721" s="46" t="s">
        <v>54</v>
      </c>
    </row>
    <row r="722" spans="1:4" x14ac:dyDescent="0.2">
      <c r="A722" s="13" t="s">
        <v>29</v>
      </c>
      <c r="B722" s="19">
        <v>3091.7099999999996</v>
      </c>
      <c r="C722" s="46">
        <v>2.932343062435704E-4</v>
      </c>
      <c r="D722" s="46" t="s">
        <v>54</v>
      </c>
    </row>
    <row r="723" spans="1:4" x14ac:dyDescent="0.2">
      <c r="A723" s="13" t="s">
        <v>29</v>
      </c>
      <c r="B723" s="19">
        <v>3091.7099999999996</v>
      </c>
      <c r="C723" s="46">
        <v>3.0240884988525749E-4</v>
      </c>
      <c r="D723" s="46" t="s">
        <v>54</v>
      </c>
    </row>
    <row r="724" spans="1:4" x14ac:dyDescent="0.2">
      <c r="A724" s="13" t="s">
        <v>29</v>
      </c>
      <c r="B724" s="19">
        <v>3503.9379999999996</v>
      </c>
      <c r="C724" s="46">
        <v>2.8809730094167915E-4</v>
      </c>
      <c r="D724" s="46" t="s">
        <v>54</v>
      </c>
    </row>
    <row r="725" spans="1:4" x14ac:dyDescent="0.2">
      <c r="A725" s="13" t="s">
        <v>29</v>
      </c>
      <c r="B725" s="19">
        <v>3503.9379999999996</v>
      </c>
      <c r="C725" s="46">
        <v>2.9549791469494336E-4</v>
      </c>
      <c r="D725" s="46" t="s">
        <v>54</v>
      </c>
    </row>
    <row r="726" spans="1:4" x14ac:dyDescent="0.2">
      <c r="A726" s="13" t="s">
        <v>29</v>
      </c>
      <c r="B726" s="19">
        <v>3916.1659999999997</v>
      </c>
      <c r="C726" s="46">
        <v>2.9103537231937957E-4</v>
      </c>
      <c r="D726" s="46" t="s">
        <v>54</v>
      </c>
    </row>
    <row r="727" spans="1:4" x14ac:dyDescent="0.2">
      <c r="A727" s="13" t="s">
        <v>29</v>
      </c>
      <c r="B727" s="19">
        <v>3916.1659999999997</v>
      </c>
      <c r="C727" s="46">
        <v>2.7327759499881302E-4</v>
      </c>
      <c r="D727" s="46" t="s">
        <v>54</v>
      </c>
    </row>
    <row r="728" spans="1:4" x14ac:dyDescent="0.2">
      <c r="A728" s="13" t="s">
        <v>29</v>
      </c>
      <c r="B728" s="19">
        <v>4328.3939999999993</v>
      </c>
      <c r="C728" s="46">
        <v>2.6789113080636224E-4</v>
      </c>
      <c r="D728" s="46" t="s">
        <v>54</v>
      </c>
    </row>
    <row r="729" spans="1:4" x14ac:dyDescent="0.2">
      <c r="A729" s="13" t="s">
        <v>29</v>
      </c>
      <c r="B729" s="19">
        <v>4328.3939999999993</v>
      </c>
      <c r="C729" s="46">
        <v>2.7892275729999205E-4</v>
      </c>
      <c r="D729" s="46" t="s">
        <v>54</v>
      </c>
    </row>
    <row r="730" spans="1:4" x14ac:dyDescent="0.2">
      <c r="A730" s="13" t="s">
        <v>29</v>
      </c>
      <c r="B730" s="19">
        <v>4740.6219999999994</v>
      </c>
      <c r="C730" s="46">
        <v>2.8070592640658379E-4</v>
      </c>
      <c r="D730" s="46" t="s">
        <v>54</v>
      </c>
    </row>
    <row r="731" spans="1:4" x14ac:dyDescent="0.2">
      <c r="A731" s="13" t="s">
        <v>29</v>
      </c>
      <c r="B731" s="19">
        <v>4740.6219999999994</v>
      </c>
      <c r="C731" s="46">
        <v>2.6338239233995408E-4</v>
      </c>
      <c r="D731" s="46" t="s">
        <v>54</v>
      </c>
    </row>
    <row r="732" spans="1:4" x14ac:dyDescent="0.2">
      <c r="A732" s="13" t="s">
        <v>29</v>
      </c>
      <c r="B732" s="19">
        <v>5152.8500000000004</v>
      </c>
      <c r="C732" s="46">
        <v>2.8027168315264699E-4</v>
      </c>
      <c r="D732" s="46" t="s">
        <v>54</v>
      </c>
    </row>
    <row r="733" spans="1:4" x14ac:dyDescent="0.2">
      <c r="A733" s="13" t="s">
        <v>29</v>
      </c>
      <c r="B733" s="19">
        <v>5152.8500000000004</v>
      </c>
      <c r="C733" s="46">
        <v>3.059567096621033E-4</v>
      </c>
      <c r="D733" s="46" t="s">
        <v>54</v>
      </c>
    </row>
    <row r="734" spans="1:4" x14ac:dyDescent="0.2">
      <c r="A734" s="13" t="s">
        <v>29</v>
      </c>
      <c r="B734" s="19">
        <v>0</v>
      </c>
      <c r="C734" s="46">
        <v>2.1883855657150831E-6</v>
      </c>
      <c r="D734" s="46" t="s">
        <v>55</v>
      </c>
    </row>
    <row r="735" spans="1:4" x14ac:dyDescent="0.2">
      <c r="A735" s="13" t="s">
        <v>29</v>
      </c>
      <c r="B735" s="19">
        <v>51.528499999999994</v>
      </c>
      <c r="C735" s="45">
        <v>2.655241153067634E-6</v>
      </c>
      <c r="D735" s="46" t="s">
        <v>55</v>
      </c>
    </row>
    <row r="736" spans="1:4" x14ac:dyDescent="0.2">
      <c r="A736" s="13" t="s">
        <v>29</v>
      </c>
      <c r="B736" s="19">
        <v>103.05699999999999</v>
      </c>
      <c r="C736" s="46">
        <v>5.9426825806751808E-6</v>
      </c>
      <c r="D736" s="46" t="s">
        <v>55</v>
      </c>
    </row>
    <row r="737" spans="1:4" x14ac:dyDescent="0.2">
      <c r="A737" s="13" t="s">
        <v>29</v>
      </c>
      <c r="B737" s="19">
        <v>103.05699999999999</v>
      </c>
      <c r="C737" s="46">
        <v>3.0540136339312713E-6</v>
      </c>
      <c r="D737" s="46" t="s">
        <v>55</v>
      </c>
    </row>
    <row r="738" spans="1:4" x14ac:dyDescent="0.2">
      <c r="A738" s="13" t="s">
        <v>29</v>
      </c>
      <c r="B738" s="19">
        <v>154.5855</v>
      </c>
      <c r="C738" s="46">
        <v>7.5669509783392642E-6</v>
      </c>
      <c r="D738" s="46" t="s">
        <v>55</v>
      </c>
    </row>
    <row r="739" spans="1:4" x14ac:dyDescent="0.2">
      <c r="A739" s="13" t="s">
        <v>29</v>
      </c>
      <c r="B739" s="19">
        <v>154.5855</v>
      </c>
      <c r="C739" s="46">
        <v>7.2751662362439202E-6</v>
      </c>
      <c r="D739" s="46" t="s">
        <v>55</v>
      </c>
    </row>
    <row r="740" spans="1:4" x14ac:dyDescent="0.2">
      <c r="A740" s="13" t="s">
        <v>29</v>
      </c>
      <c r="B740" s="19">
        <v>206.11399999999998</v>
      </c>
      <c r="C740" s="46">
        <v>1.1681115841883621E-5</v>
      </c>
      <c r="D740" s="46" t="s">
        <v>55</v>
      </c>
    </row>
    <row r="741" spans="1:4" x14ac:dyDescent="0.2">
      <c r="A741" s="13" t="s">
        <v>29</v>
      </c>
      <c r="B741" s="19">
        <v>206.11399999999998</v>
      </c>
      <c r="C741" s="46">
        <v>8.6465545240920396E-6</v>
      </c>
      <c r="D741" s="46" t="s">
        <v>55</v>
      </c>
    </row>
    <row r="742" spans="1:4" x14ac:dyDescent="0.2">
      <c r="A742" s="13" t="s">
        <v>29</v>
      </c>
      <c r="B742" s="19">
        <v>309.17099999999999</v>
      </c>
      <c r="C742" s="46">
        <v>1.8829842023219557E-5</v>
      </c>
      <c r="D742" s="46" t="s">
        <v>55</v>
      </c>
    </row>
    <row r="743" spans="1:4" x14ac:dyDescent="0.2">
      <c r="A743" s="13" t="s">
        <v>29</v>
      </c>
      <c r="B743" s="19">
        <v>309.17099999999999</v>
      </c>
      <c r="C743" s="46">
        <v>1.4229369256182962E-5</v>
      </c>
      <c r="D743" s="46" t="s">
        <v>55</v>
      </c>
    </row>
    <row r="744" spans="1:4" x14ac:dyDescent="0.2">
      <c r="A744" s="13" t="s">
        <v>29</v>
      </c>
      <c r="B744" s="19">
        <v>412.22799999999995</v>
      </c>
      <c r="C744" s="46">
        <v>2.7622288918359276E-5</v>
      </c>
      <c r="D744" s="46" t="s">
        <v>55</v>
      </c>
    </row>
    <row r="745" spans="1:4" x14ac:dyDescent="0.2">
      <c r="A745" s="13" t="s">
        <v>29</v>
      </c>
      <c r="B745" s="19">
        <v>412.22799999999995</v>
      </c>
      <c r="C745" s="46">
        <v>2.0317944207905813E-5</v>
      </c>
      <c r="D745" s="46" t="s">
        <v>55</v>
      </c>
    </row>
    <row r="746" spans="1:4" x14ac:dyDescent="0.2">
      <c r="A746" s="13" t="s">
        <v>29</v>
      </c>
      <c r="B746" s="19">
        <v>515.28499999999997</v>
      </c>
      <c r="C746" s="46">
        <v>3.3389900653777241E-5</v>
      </c>
      <c r="D746" s="46" t="s">
        <v>55</v>
      </c>
    </row>
    <row r="747" spans="1:4" x14ac:dyDescent="0.2">
      <c r="A747" s="13" t="s">
        <v>29</v>
      </c>
      <c r="B747" s="19">
        <v>515.28499999999997</v>
      </c>
      <c r="C747" s="46">
        <v>2.6007746678765032E-5</v>
      </c>
      <c r="D747" s="46" t="s">
        <v>55</v>
      </c>
    </row>
    <row r="748" spans="1:4" x14ac:dyDescent="0.2">
      <c r="A748" s="13" t="s">
        <v>29</v>
      </c>
      <c r="B748" s="19">
        <v>618.34199999999998</v>
      </c>
      <c r="C748" s="46">
        <v>4.2970166352574386E-5</v>
      </c>
      <c r="D748" s="46" t="s">
        <v>55</v>
      </c>
    </row>
    <row r="749" spans="1:4" x14ac:dyDescent="0.2">
      <c r="A749" s="13" t="s">
        <v>29</v>
      </c>
      <c r="B749" s="19">
        <v>618.34199999999998</v>
      </c>
      <c r="C749" s="46">
        <v>3.7893111840115393E-5</v>
      </c>
      <c r="D749" s="46" t="s">
        <v>55</v>
      </c>
    </row>
    <row r="750" spans="1:4" x14ac:dyDescent="0.2">
      <c r="A750" s="13" t="s">
        <v>29</v>
      </c>
      <c r="B750" s="19">
        <v>721.39899999999989</v>
      </c>
      <c r="C750" s="46">
        <v>5.459292524603894E-5</v>
      </c>
      <c r="D750" s="46" t="s">
        <v>55</v>
      </c>
    </row>
    <row r="751" spans="1:4" x14ac:dyDescent="0.2">
      <c r="A751" s="13" t="s">
        <v>29</v>
      </c>
      <c r="B751" s="19">
        <v>721.39899999999989</v>
      </c>
      <c r="C751" s="46">
        <v>5.3571678648705232E-5</v>
      </c>
      <c r="D751" s="46" t="s">
        <v>55</v>
      </c>
    </row>
    <row r="752" spans="1:4" x14ac:dyDescent="0.2">
      <c r="A752" s="13" t="s">
        <v>29</v>
      </c>
      <c r="B752" s="19">
        <v>824.4559999999999</v>
      </c>
      <c r="C752" s="46">
        <v>6.0584238617063345E-5</v>
      </c>
      <c r="D752" s="46" t="s">
        <v>55</v>
      </c>
    </row>
    <row r="753" spans="1:4" x14ac:dyDescent="0.2">
      <c r="A753" s="13" t="s">
        <v>29</v>
      </c>
      <c r="B753" s="19">
        <v>824.4559999999999</v>
      </c>
      <c r="C753" s="46">
        <v>5.6868846234382635E-5</v>
      </c>
      <c r="D753" s="46" t="s">
        <v>55</v>
      </c>
    </row>
    <row r="754" spans="1:4" x14ac:dyDescent="0.2">
      <c r="A754" s="13" t="s">
        <v>29</v>
      </c>
      <c r="B754" s="19">
        <v>927.51300000000003</v>
      </c>
      <c r="C754" s="46">
        <v>2.4558549126358159E-5</v>
      </c>
      <c r="D754" s="46" t="s">
        <v>55</v>
      </c>
    </row>
    <row r="755" spans="1:4" x14ac:dyDescent="0.2">
      <c r="A755" s="13" t="s">
        <v>29</v>
      </c>
      <c r="B755" s="19">
        <v>927.51300000000003</v>
      </c>
      <c r="C755" s="46">
        <v>6.5281972964798384E-5</v>
      </c>
      <c r="D755" s="46" t="s">
        <v>55</v>
      </c>
    </row>
    <row r="756" spans="1:4" x14ac:dyDescent="0.2">
      <c r="A756" s="13" t="s">
        <v>29</v>
      </c>
      <c r="B756" s="19">
        <v>1030.57</v>
      </c>
      <c r="C756" s="46">
        <v>7.9287640585374921E-5</v>
      </c>
      <c r="D756" s="46" t="s">
        <v>55</v>
      </c>
    </row>
    <row r="757" spans="1:4" x14ac:dyDescent="0.2">
      <c r="A757" s="13" t="s">
        <v>29</v>
      </c>
      <c r="B757" s="19">
        <v>1030.57</v>
      </c>
      <c r="C757" s="46">
        <v>8.0201899443940335E-5</v>
      </c>
      <c r="D757" s="46" t="s">
        <v>55</v>
      </c>
    </row>
    <row r="758" spans="1:4" x14ac:dyDescent="0.2">
      <c r="A758" s="13" t="s">
        <v>29</v>
      </c>
      <c r="B758" s="19">
        <v>1236.684</v>
      </c>
      <c r="C758" s="46">
        <v>9.7524186966333945E-5</v>
      </c>
      <c r="D758" s="46" t="s">
        <v>55</v>
      </c>
    </row>
    <row r="759" spans="1:4" x14ac:dyDescent="0.2">
      <c r="A759" s="13" t="s">
        <v>29</v>
      </c>
      <c r="B759" s="19">
        <v>1236.684</v>
      </c>
      <c r="C759" s="46">
        <v>9.8555159721737512E-5</v>
      </c>
      <c r="D759" s="46" t="s">
        <v>55</v>
      </c>
    </row>
    <row r="760" spans="1:4" x14ac:dyDescent="0.2">
      <c r="A760" s="13" t="s">
        <v>29</v>
      </c>
      <c r="B760" s="19">
        <v>1442.7979999999998</v>
      </c>
      <c r="C760" s="46">
        <v>1.2801569251529743E-4</v>
      </c>
      <c r="D760" s="46" t="s">
        <v>55</v>
      </c>
    </row>
    <row r="761" spans="1:4" x14ac:dyDescent="0.2">
      <c r="A761" s="13" t="s">
        <v>29</v>
      </c>
      <c r="B761" s="19">
        <v>1442.7979999999998</v>
      </c>
      <c r="C761" s="46">
        <v>1.3246054675321653E-4</v>
      </c>
      <c r="D761" s="46" t="s">
        <v>55</v>
      </c>
    </row>
    <row r="762" spans="1:4" x14ac:dyDescent="0.2">
      <c r="A762" s="13" t="s">
        <v>29</v>
      </c>
      <c r="B762" s="19">
        <v>1648.9119999999998</v>
      </c>
      <c r="C762" s="46">
        <v>1.6429426211581858E-4</v>
      </c>
      <c r="D762" s="46" t="s">
        <v>55</v>
      </c>
    </row>
    <row r="763" spans="1:4" x14ac:dyDescent="0.2">
      <c r="A763" s="13" t="s">
        <v>29</v>
      </c>
      <c r="B763" s="19">
        <v>1648.9119999999998</v>
      </c>
      <c r="C763" s="46">
        <v>1.9356999790605148E-4</v>
      </c>
      <c r="D763" s="46" t="s">
        <v>55</v>
      </c>
    </row>
    <row r="764" spans="1:4" x14ac:dyDescent="0.2">
      <c r="A764" s="13" t="s">
        <v>29</v>
      </c>
      <c r="B764" s="19">
        <v>1855.0260000000001</v>
      </c>
      <c r="C764" s="46">
        <v>1.9412438891603263E-4</v>
      </c>
      <c r="D764" s="46" t="s">
        <v>55</v>
      </c>
    </row>
    <row r="765" spans="1:4" x14ac:dyDescent="0.2">
      <c r="A765" s="13" t="s">
        <v>29</v>
      </c>
      <c r="B765" s="19">
        <v>1855.0260000000001</v>
      </c>
      <c r="C765" s="46">
        <v>1.8834705102254481E-4</v>
      </c>
      <c r="D765" s="46" t="s">
        <v>55</v>
      </c>
    </row>
    <row r="766" spans="1:4" x14ac:dyDescent="0.2">
      <c r="A766" s="13" t="s">
        <v>29</v>
      </c>
      <c r="B766" s="19">
        <v>2061.14</v>
      </c>
      <c r="C766" s="46">
        <v>2.3387519694748841E-4</v>
      </c>
      <c r="D766" s="46" t="s">
        <v>55</v>
      </c>
    </row>
    <row r="767" spans="1:4" x14ac:dyDescent="0.2">
      <c r="A767" s="13" t="s">
        <v>29</v>
      </c>
      <c r="B767" s="19">
        <v>2061.14</v>
      </c>
      <c r="C767" s="46">
        <v>2.0669058514227211E-4</v>
      </c>
      <c r="D767" s="46" t="s">
        <v>55</v>
      </c>
    </row>
    <row r="768" spans="1:4" x14ac:dyDescent="0.2">
      <c r="A768" s="13" t="s">
        <v>29</v>
      </c>
      <c r="B768" s="19">
        <v>2267.2539999999999</v>
      </c>
      <c r="C768" s="46">
        <v>2.9433299550964375E-4</v>
      </c>
      <c r="D768" s="46" t="s">
        <v>55</v>
      </c>
    </row>
    <row r="769" spans="1:4" x14ac:dyDescent="0.2">
      <c r="A769" s="13" t="s">
        <v>29</v>
      </c>
      <c r="B769" s="19">
        <v>2267.2539999999999</v>
      </c>
      <c r="C769" s="46">
        <v>2.2683345850492076E-4</v>
      </c>
      <c r="D769" s="46" t="s">
        <v>55</v>
      </c>
    </row>
    <row r="770" spans="1:4" x14ac:dyDescent="0.2">
      <c r="A770" s="13" t="s">
        <v>29</v>
      </c>
      <c r="B770" s="19">
        <v>2679.4819999999995</v>
      </c>
      <c r="C770" s="46">
        <v>2.6912279379260603E-4</v>
      </c>
      <c r="D770" s="46" t="s">
        <v>55</v>
      </c>
    </row>
    <row r="771" spans="1:4" x14ac:dyDescent="0.2">
      <c r="A771" s="13" t="s">
        <v>29</v>
      </c>
      <c r="B771" s="19">
        <v>2679.4819999999995</v>
      </c>
      <c r="C771" s="46">
        <v>2.6316065889579109E-4</v>
      </c>
      <c r="D771" s="46" t="s">
        <v>55</v>
      </c>
    </row>
    <row r="772" spans="1:4" x14ac:dyDescent="0.2">
      <c r="A772" s="13" t="s">
        <v>29</v>
      </c>
      <c r="B772" s="19">
        <v>3091.7099999999996</v>
      </c>
      <c r="C772" s="46">
        <v>2.9258228705707169E-4</v>
      </c>
      <c r="D772" s="46" t="s">
        <v>55</v>
      </c>
    </row>
    <row r="773" spans="1:4" x14ac:dyDescent="0.2">
      <c r="A773" s="13" t="s">
        <v>29</v>
      </c>
      <c r="B773" s="19">
        <v>3091.7099999999996</v>
      </c>
      <c r="C773" s="46">
        <v>2.7880032107210163E-4</v>
      </c>
      <c r="D773" s="46" t="s">
        <v>55</v>
      </c>
    </row>
    <row r="774" spans="1:4" x14ac:dyDescent="0.2">
      <c r="A774" s="13" t="s">
        <v>29</v>
      </c>
      <c r="B774" s="19">
        <v>3503.9379999999996</v>
      </c>
      <c r="C774" s="46">
        <v>3.3869400246620596E-4</v>
      </c>
      <c r="D774" s="46" t="s">
        <v>55</v>
      </c>
    </row>
    <row r="775" spans="1:4" x14ac:dyDescent="0.2">
      <c r="A775" s="13" t="s">
        <v>29</v>
      </c>
      <c r="B775" s="19">
        <v>3503.9379999999996</v>
      </c>
      <c r="C775" s="46">
        <v>3.2642931714013164E-4</v>
      </c>
      <c r="D775" s="46" t="s">
        <v>55</v>
      </c>
    </row>
    <row r="776" spans="1:4" x14ac:dyDescent="0.2">
      <c r="A776" s="13" t="s">
        <v>29</v>
      </c>
      <c r="B776" s="19">
        <v>3916.1659999999997</v>
      </c>
      <c r="C776" s="46">
        <v>3.2790769316674807E-4</v>
      </c>
      <c r="D776" s="46" t="s">
        <v>55</v>
      </c>
    </row>
    <row r="777" spans="1:4" x14ac:dyDescent="0.2">
      <c r="A777" s="13" t="s">
        <v>29</v>
      </c>
      <c r="B777" s="19">
        <v>3916.1659999999997</v>
      </c>
      <c r="C777" s="46">
        <v>3.0296009771759607E-4</v>
      </c>
      <c r="D777" s="46" t="s">
        <v>55</v>
      </c>
    </row>
    <row r="778" spans="1:4" x14ac:dyDescent="0.2">
      <c r="A778" s="13" t="s">
        <v>29</v>
      </c>
      <c r="B778" s="19">
        <v>4328.3939999999993</v>
      </c>
      <c r="C778" s="46">
        <v>3.1902771084897977E-4</v>
      </c>
      <c r="D778" s="46" t="s">
        <v>55</v>
      </c>
    </row>
    <row r="779" spans="1:4" x14ac:dyDescent="0.2">
      <c r="A779" s="13" t="s">
        <v>29</v>
      </c>
      <c r="B779" s="19">
        <v>4328.3939999999993</v>
      </c>
      <c r="C779" s="46">
        <v>3.1528313999208945E-4</v>
      </c>
      <c r="D779" s="46" t="s">
        <v>55</v>
      </c>
    </row>
    <row r="780" spans="1:4" x14ac:dyDescent="0.2">
      <c r="A780" s="13" t="s">
        <v>29</v>
      </c>
      <c r="B780" s="19">
        <v>4740.6219999999994</v>
      </c>
      <c r="C780" s="46">
        <v>3.0081061678416035E-4</v>
      </c>
      <c r="D780" s="46" t="s">
        <v>55</v>
      </c>
    </row>
    <row r="781" spans="1:4" x14ac:dyDescent="0.2">
      <c r="A781" s="13" t="s">
        <v>29</v>
      </c>
      <c r="B781" s="19">
        <v>4740.6219999999994</v>
      </c>
      <c r="C781" s="46">
        <v>3.2625424629487441E-4</v>
      </c>
      <c r="D781" s="46" t="s">
        <v>55</v>
      </c>
    </row>
    <row r="782" spans="1:4" x14ac:dyDescent="0.2">
      <c r="A782" s="13" t="s">
        <v>29</v>
      </c>
      <c r="B782" s="19">
        <v>5152.8500000000004</v>
      </c>
      <c r="C782" s="46">
        <v>3.3186623950117491E-4</v>
      </c>
      <c r="D782" s="46" t="s">
        <v>55</v>
      </c>
    </row>
    <row r="783" spans="1:4" x14ac:dyDescent="0.2">
      <c r="A783" s="13" t="s">
        <v>29</v>
      </c>
      <c r="B783" s="19">
        <v>5152.8500000000004</v>
      </c>
      <c r="C783" s="46">
        <v>3.3914140573741881E-4</v>
      </c>
      <c r="D783" s="46" t="s">
        <v>55</v>
      </c>
    </row>
    <row r="784" spans="1:4" x14ac:dyDescent="0.2">
      <c r="A784" s="13" t="s">
        <v>29</v>
      </c>
      <c r="B784" s="19">
        <v>0</v>
      </c>
      <c r="C784" s="46">
        <v>3.1120767309981101E-6</v>
      </c>
      <c r="D784" s="46" t="s">
        <v>56</v>
      </c>
    </row>
    <row r="785" spans="1:4" x14ac:dyDescent="0.2">
      <c r="A785" s="13" t="s">
        <v>29</v>
      </c>
      <c r="B785" s="19">
        <v>51.528499999999994</v>
      </c>
      <c r="C785" s="46">
        <v>3.2083265268021755E-6</v>
      </c>
      <c r="D785" s="46" t="s">
        <v>56</v>
      </c>
    </row>
    <row r="786" spans="1:4" x14ac:dyDescent="0.2">
      <c r="A786" s="13" t="s">
        <v>29</v>
      </c>
      <c r="B786" s="19">
        <v>103.05699999999999</v>
      </c>
      <c r="C786" s="46">
        <v>5.0771767286644412E-6</v>
      </c>
      <c r="D786" s="46" t="s">
        <v>56</v>
      </c>
    </row>
    <row r="787" spans="1:4" x14ac:dyDescent="0.2">
      <c r="A787" s="13" t="s">
        <v>29</v>
      </c>
      <c r="B787" s="19">
        <v>103.05699999999999</v>
      </c>
      <c r="C787" s="46">
        <v>4.0505122400877458E-6</v>
      </c>
      <c r="D787" s="46" t="s">
        <v>56</v>
      </c>
    </row>
    <row r="788" spans="1:4" x14ac:dyDescent="0.2">
      <c r="A788" s="13" t="s">
        <v>29</v>
      </c>
      <c r="B788" s="19">
        <v>154.5855</v>
      </c>
      <c r="C788" s="46">
        <v>0</v>
      </c>
      <c r="D788" s="46" t="s">
        <v>56</v>
      </c>
    </row>
    <row r="789" spans="1:4" x14ac:dyDescent="0.2">
      <c r="A789" s="13" t="s">
        <v>29</v>
      </c>
      <c r="B789" s="19">
        <v>154.5855</v>
      </c>
      <c r="C789" s="46">
        <v>4.4836363212060404E-6</v>
      </c>
      <c r="D789" s="46" t="s">
        <v>56</v>
      </c>
    </row>
    <row r="790" spans="1:4" x14ac:dyDescent="0.2">
      <c r="A790" s="13" t="s">
        <v>29</v>
      </c>
      <c r="B790" s="19">
        <v>206.11399999999998</v>
      </c>
      <c r="C790" s="46">
        <v>4.7322816270332079E-6</v>
      </c>
      <c r="D790" s="46" t="s">
        <v>56</v>
      </c>
    </row>
    <row r="791" spans="1:4" x14ac:dyDescent="0.2">
      <c r="A791" s="13" t="s">
        <v>29</v>
      </c>
      <c r="B791" s="19">
        <v>206.11399999999998</v>
      </c>
      <c r="C791" s="46">
        <v>4.7884273412522453E-6</v>
      </c>
      <c r="D791" s="46" t="s">
        <v>56</v>
      </c>
    </row>
    <row r="792" spans="1:4" x14ac:dyDescent="0.2">
      <c r="A792" s="13" t="s">
        <v>29</v>
      </c>
      <c r="B792" s="19">
        <v>309.17099999999999</v>
      </c>
      <c r="C792" s="46">
        <v>6.5931110125784695E-6</v>
      </c>
      <c r="D792" s="46" t="s">
        <v>56</v>
      </c>
    </row>
    <row r="793" spans="1:4" x14ac:dyDescent="0.2">
      <c r="A793" s="13" t="s">
        <v>29</v>
      </c>
      <c r="B793" s="19">
        <v>309.17099999999999</v>
      </c>
      <c r="C793" s="46">
        <v>5.0611350960304305E-6</v>
      </c>
      <c r="D793" s="46" t="s">
        <v>56</v>
      </c>
    </row>
    <row r="794" spans="1:4" x14ac:dyDescent="0.2">
      <c r="A794" s="13" t="s">
        <v>29</v>
      </c>
      <c r="B794" s="19">
        <v>412.22799999999995</v>
      </c>
      <c r="C794" s="46">
        <v>9.9137289678187219E-6</v>
      </c>
      <c r="D794" s="46" t="s">
        <v>56</v>
      </c>
    </row>
    <row r="795" spans="1:4" x14ac:dyDescent="0.2">
      <c r="A795" s="13" t="s">
        <v>29</v>
      </c>
      <c r="B795" s="19">
        <v>412.22799999999995</v>
      </c>
      <c r="C795" s="46">
        <v>7.0021726447457464E-6</v>
      </c>
      <c r="D795" s="46" t="s">
        <v>56</v>
      </c>
    </row>
    <row r="796" spans="1:4" x14ac:dyDescent="0.2">
      <c r="A796" s="13" t="s">
        <v>29</v>
      </c>
      <c r="B796" s="19">
        <v>515.28499999999997</v>
      </c>
      <c r="C796" s="46">
        <v>9.3843550908963623E-6</v>
      </c>
      <c r="D796" s="46" t="s">
        <v>56</v>
      </c>
    </row>
    <row r="797" spans="1:4" x14ac:dyDescent="0.2">
      <c r="A797" s="13" t="s">
        <v>29</v>
      </c>
      <c r="B797" s="19">
        <v>515.28499999999997</v>
      </c>
      <c r="C797" s="46">
        <v>1.1317371823294671E-5</v>
      </c>
      <c r="D797" s="46" t="s">
        <v>56</v>
      </c>
    </row>
    <row r="798" spans="1:4" x14ac:dyDescent="0.2">
      <c r="A798" s="13" t="s">
        <v>29</v>
      </c>
      <c r="B798" s="19">
        <v>618.34199999999998</v>
      </c>
      <c r="C798" s="46">
        <v>1.2504452638211476E-5</v>
      </c>
      <c r="D798" s="46" t="s">
        <v>56</v>
      </c>
    </row>
    <row r="799" spans="1:4" x14ac:dyDescent="0.2">
      <c r="A799" s="13" t="s">
        <v>29</v>
      </c>
      <c r="B799" s="19">
        <v>618.34199999999998</v>
      </c>
      <c r="C799" s="46">
        <v>1.0483206926326107E-5</v>
      </c>
      <c r="D799" s="46" t="s">
        <v>56</v>
      </c>
    </row>
    <row r="800" spans="1:4" x14ac:dyDescent="0.2">
      <c r="A800" s="13" t="s">
        <v>29</v>
      </c>
      <c r="B800" s="19">
        <v>721.39899999999989</v>
      </c>
      <c r="C800" s="46">
        <v>1.4573823247998877E-5</v>
      </c>
      <c r="D800" s="46" t="s">
        <v>56</v>
      </c>
    </row>
    <row r="801" spans="1:4" x14ac:dyDescent="0.2">
      <c r="A801" s="13" t="s">
        <v>29</v>
      </c>
      <c r="B801" s="19">
        <v>721.39899999999989</v>
      </c>
      <c r="C801" s="46">
        <v>1.4188824064782619E-5</v>
      </c>
      <c r="D801" s="46" t="s">
        <v>56</v>
      </c>
    </row>
    <row r="802" spans="1:4" x14ac:dyDescent="0.2">
      <c r="A802" s="13" t="s">
        <v>29</v>
      </c>
      <c r="B802" s="19">
        <v>824.4559999999999</v>
      </c>
      <c r="C802" s="46">
        <v>1.5897257940304777E-5</v>
      </c>
      <c r="D802" s="46" t="s">
        <v>56</v>
      </c>
    </row>
    <row r="803" spans="1:4" x14ac:dyDescent="0.2">
      <c r="A803" s="13" t="s">
        <v>29</v>
      </c>
      <c r="B803" s="19">
        <v>824.4559999999999</v>
      </c>
      <c r="C803" s="46">
        <v>1.2969659984597793E-5</v>
      </c>
      <c r="D803" s="46" t="s">
        <v>56</v>
      </c>
    </row>
    <row r="804" spans="1:4" x14ac:dyDescent="0.2">
      <c r="A804" s="13" t="s">
        <v>29</v>
      </c>
      <c r="B804" s="19">
        <v>927.51300000000003</v>
      </c>
      <c r="C804" s="46">
        <v>7.796233460129285E-6</v>
      </c>
      <c r="D804" s="46" t="s">
        <v>56</v>
      </c>
    </row>
    <row r="805" spans="1:4" x14ac:dyDescent="0.2">
      <c r="A805" s="13" t="s">
        <v>29</v>
      </c>
      <c r="B805" s="19">
        <v>927.51300000000003</v>
      </c>
      <c r="C805" s="46">
        <v>1.789444120323913E-5</v>
      </c>
      <c r="D805" s="46" t="s">
        <v>56</v>
      </c>
    </row>
    <row r="806" spans="1:4" x14ac:dyDescent="0.2">
      <c r="A806" s="13" t="s">
        <v>29</v>
      </c>
      <c r="B806" s="19">
        <v>1030.57</v>
      </c>
      <c r="C806" s="46">
        <v>1.5656633450794613E-5</v>
      </c>
      <c r="D806" s="46" t="s">
        <v>56</v>
      </c>
    </row>
    <row r="807" spans="1:4" x14ac:dyDescent="0.2">
      <c r="A807" s="13" t="s">
        <v>29</v>
      </c>
      <c r="B807" s="19">
        <v>1030.57</v>
      </c>
      <c r="C807" s="46">
        <v>2.0822039158946117E-5</v>
      </c>
      <c r="D807" s="46" t="s">
        <v>56</v>
      </c>
    </row>
    <row r="808" spans="1:4" x14ac:dyDescent="0.2">
      <c r="A808" s="13" t="s">
        <v>29</v>
      </c>
      <c r="B808" s="19">
        <v>1236.684</v>
      </c>
      <c r="C808" s="46">
        <v>2.1824641198571797E-5</v>
      </c>
      <c r="D808" s="46" t="s">
        <v>56</v>
      </c>
    </row>
    <row r="809" spans="1:4" x14ac:dyDescent="0.2">
      <c r="A809" s="13" t="s">
        <v>29</v>
      </c>
      <c r="B809" s="19">
        <v>1236.684</v>
      </c>
      <c r="C809" s="46">
        <v>3.0527226902522691E-5</v>
      </c>
      <c r="D809" s="46" t="s">
        <v>56</v>
      </c>
    </row>
    <row r="810" spans="1:4" x14ac:dyDescent="0.2">
      <c r="A810" s="13" t="s">
        <v>29</v>
      </c>
      <c r="B810" s="19">
        <v>1442.7979999999998</v>
      </c>
      <c r="C810" s="46">
        <v>3.2692847308114166E-5</v>
      </c>
      <c r="D810" s="46" t="s">
        <v>56</v>
      </c>
    </row>
    <row r="811" spans="1:4" x14ac:dyDescent="0.2">
      <c r="A811" s="13" t="s">
        <v>29</v>
      </c>
      <c r="B811" s="19">
        <v>1442.7979999999998</v>
      </c>
      <c r="C811" s="46">
        <v>3.1313266901589226E-5</v>
      </c>
      <c r="D811" s="46" t="s">
        <v>56</v>
      </c>
    </row>
    <row r="812" spans="1:4" x14ac:dyDescent="0.2">
      <c r="A812" s="13" t="s">
        <v>29</v>
      </c>
      <c r="B812" s="19">
        <v>1648.9119999999998</v>
      </c>
      <c r="C812" s="46">
        <v>3.5147217101117825E-5</v>
      </c>
      <c r="D812" s="46" t="s">
        <v>56</v>
      </c>
    </row>
    <row r="813" spans="1:4" x14ac:dyDescent="0.2">
      <c r="A813" s="13" t="s">
        <v>29</v>
      </c>
      <c r="B813" s="19">
        <v>1648.9119999999998</v>
      </c>
      <c r="C813" s="46">
        <v>3.4232844040979212E-5</v>
      </c>
      <c r="D813" s="46" t="s">
        <v>56</v>
      </c>
    </row>
    <row r="814" spans="1:4" x14ac:dyDescent="0.2">
      <c r="A814" s="13" t="s">
        <v>29</v>
      </c>
      <c r="B814" s="19">
        <v>1855.0260000000001</v>
      </c>
      <c r="C814" s="46">
        <v>3.8868875872208354E-5</v>
      </c>
      <c r="D814" s="46" t="s">
        <v>56</v>
      </c>
    </row>
    <row r="815" spans="1:4" x14ac:dyDescent="0.2">
      <c r="A815" s="13" t="s">
        <v>29</v>
      </c>
      <c r="B815" s="19">
        <v>1855.0260000000001</v>
      </c>
      <c r="C815" s="46">
        <v>4.3440741172901445E-5</v>
      </c>
      <c r="D815" s="46" t="s">
        <v>56</v>
      </c>
    </row>
    <row r="816" spans="1:4" x14ac:dyDescent="0.2">
      <c r="A816" s="13" t="s">
        <v>29</v>
      </c>
      <c r="B816" s="19">
        <v>2061.14</v>
      </c>
      <c r="C816" s="46">
        <v>4.4892508926279432E-5</v>
      </c>
      <c r="D816" s="46" t="s">
        <v>56</v>
      </c>
    </row>
    <row r="817" spans="1:4" x14ac:dyDescent="0.2">
      <c r="A817" s="13" t="s">
        <v>29</v>
      </c>
      <c r="B817" s="19">
        <v>2061.14</v>
      </c>
      <c r="C817" s="46">
        <v>3.8179085668945884E-5</v>
      </c>
      <c r="D817" s="46" t="s">
        <v>56</v>
      </c>
    </row>
    <row r="818" spans="1:4" x14ac:dyDescent="0.2">
      <c r="A818" s="13" t="s">
        <v>29</v>
      </c>
      <c r="B818" s="19">
        <v>2267.2539999999999</v>
      </c>
      <c r="C818" s="46">
        <v>6.7398919511796695E-5</v>
      </c>
      <c r="D818" s="46" t="s">
        <v>56</v>
      </c>
    </row>
    <row r="819" spans="1:4" x14ac:dyDescent="0.2">
      <c r="A819" s="13" t="s">
        <v>29</v>
      </c>
      <c r="B819" s="19">
        <v>2267.2539999999999</v>
      </c>
      <c r="C819" s="46">
        <v>7.4850257870294742E-5</v>
      </c>
      <c r="D819" s="46" t="s">
        <v>56</v>
      </c>
    </row>
    <row r="820" spans="1:4" x14ac:dyDescent="0.2">
      <c r="A820" s="13" t="s">
        <v>29</v>
      </c>
      <c r="B820" s="19">
        <v>2679.4819999999995</v>
      </c>
      <c r="C820" s="46">
        <v>5.1926764836293207E-5</v>
      </c>
      <c r="D820" s="46" t="s">
        <v>56</v>
      </c>
    </row>
    <row r="821" spans="1:4" x14ac:dyDescent="0.2">
      <c r="A821" s="13" t="s">
        <v>29</v>
      </c>
      <c r="B821" s="19">
        <v>2679.4819999999995</v>
      </c>
      <c r="C821" s="46">
        <v>4.907135422743927E-5</v>
      </c>
      <c r="D821" s="46" t="s">
        <v>56</v>
      </c>
    </row>
    <row r="822" spans="1:4" x14ac:dyDescent="0.2">
      <c r="A822" s="13" t="s">
        <v>29</v>
      </c>
      <c r="B822" s="19">
        <v>3091.7099999999996</v>
      </c>
      <c r="C822" s="46">
        <v>6.4896424820890986E-5</v>
      </c>
      <c r="D822" s="46" t="s">
        <v>56</v>
      </c>
    </row>
    <row r="823" spans="1:4" x14ac:dyDescent="0.2">
      <c r="A823" s="13" t="s">
        <v>29</v>
      </c>
      <c r="B823" s="19">
        <v>3091.7099999999996</v>
      </c>
      <c r="C823" s="46">
        <v>5.3065720753307976E-5</v>
      </c>
      <c r="D823" s="46" t="s">
        <v>56</v>
      </c>
    </row>
    <row r="824" spans="1:4" x14ac:dyDescent="0.2">
      <c r="A824" s="13" t="s">
        <v>29</v>
      </c>
      <c r="B824" s="19">
        <v>3503.9379999999996</v>
      </c>
      <c r="C824" s="46">
        <v>7.7609418683344622E-5</v>
      </c>
      <c r="D824" s="46" t="s">
        <v>56</v>
      </c>
    </row>
    <row r="825" spans="1:4" x14ac:dyDescent="0.2">
      <c r="A825" s="13" t="s">
        <v>29</v>
      </c>
      <c r="B825" s="19">
        <v>3503.9379999999996</v>
      </c>
      <c r="C825" s="46">
        <v>1.0536946395650042E-4</v>
      </c>
      <c r="D825" s="46" t="s">
        <v>56</v>
      </c>
    </row>
    <row r="826" spans="1:4" x14ac:dyDescent="0.2">
      <c r="A826" s="13" t="s">
        <v>29</v>
      </c>
      <c r="B826" s="19">
        <v>3916.1659999999997</v>
      </c>
      <c r="C826" s="46">
        <v>8.1732118270285407E-5</v>
      </c>
      <c r="D826" s="46" t="s">
        <v>56</v>
      </c>
    </row>
    <row r="827" spans="1:4" x14ac:dyDescent="0.2">
      <c r="A827" s="13" t="s">
        <v>29</v>
      </c>
      <c r="B827" s="19">
        <v>3916.1659999999997</v>
      </c>
      <c r="C827" s="46">
        <v>6.3276219924855896E-5</v>
      </c>
      <c r="D827" s="46" t="s">
        <v>56</v>
      </c>
    </row>
    <row r="828" spans="1:4" x14ac:dyDescent="0.2">
      <c r="A828" s="13" t="s">
        <v>29</v>
      </c>
      <c r="B828" s="19">
        <v>4328.3939999999993</v>
      </c>
      <c r="C828" s="46">
        <v>1.149062145574199E-4</v>
      </c>
      <c r="D828" s="46" t="s">
        <v>56</v>
      </c>
    </row>
    <row r="829" spans="1:4" x14ac:dyDescent="0.2">
      <c r="A829" s="13" t="s">
        <v>29</v>
      </c>
      <c r="B829" s="19">
        <v>4328.3939999999993</v>
      </c>
      <c r="C829" s="46">
        <v>8.9905330097313959E-5</v>
      </c>
      <c r="D829" s="46" t="s">
        <v>56</v>
      </c>
    </row>
    <row r="830" spans="1:4" x14ac:dyDescent="0.2">
      <c r="A830" s="13" t="s">
        <v>29</v>
      </c>
      <c r="B830" s="19">
        <v>4740.6219999999994</v>
      </c>
      <c r="C830" s="46">
        <v>9.4413028867471001E-5</v>
      </c>
      <c r="D830" s="46" t="s">
        <v>56</v>
      </c>
    </row>
    <row r="831" spans="1:4" x14ac:dyDescent="0.2">
      <c r="A831" s="13" t="s">
        <v>29</v>
      </c>
      <c r="B831" s="19">
        <v>4740.6219999999994</v>
      </c>
      <c r="C831" s="46">
        <v>7.3286198688478691E-5</v>
      </c>
      <c r="D831" s="46" t="s">
        <v>56</v>
      </c>
    </row>
    <row r="832" spans="1:4" x14ac:dyDescent="0.2">
      <c r="A832" s="13" t="s">
        <v>29</v>
      </c>
      <c r="B832" s="19">
        <v>5152.8500000000004</v>
      </c>
      <c r="C832" s="46">
        <v>9.1429285197544978E-5</v>
      </c>
      <c r="D832" s="46" t="s">
        <v>56</v>
      </c>
    </row>
    <row r="833" spans="1:4" x14ac:dyDescent="0.2">
      <c r="A833" s="13" t="s">
        <v>29</v>
      </c>
      <c r="B833" s="19">
        <v>5152.8500000000004</v>
      </c>
      <c r="C833" s="46">
        <v>9.8519686821777779E-5</v>
      </c>
      <c r="D833" s="46" t="s">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2430A-F5C4-164D-9D51-69EB59FED88C}">
  <dimension ref="A1:AA49"/>
  <sheetViews>
    <sheetView zoomScale="125" workbookViewId="0">
      <selection activeCell="B1" sqref="B1"/>
    </sheetView>
    <sheetView tabSelected="1" zoomScale="175" workbookViewId="1">
      <selection activeCell="G6" sqref="G6"/>
    </sheetView>
  </sheetViews>
  <sheetFormatPr baseColWidth="10" defaultRowHeight="15" x14ac:dyDescent="0.2"/>
  <cols>
    <col min="1" max="1" width="13" bestFit="1" customWidth="1"/>
    <col min="2" max="2" width="8.6640625" bestFit="1" customWidth="1"/>
    <col min="3" max="3" width="13.33203125" customWidth="1"/>
    <col min="4" max="4" width="12.1640625" bestFit="1" customWidth="1"/>
    <col min="7" max="7" width="13.1640625" bestFit="1" customWidth="1"/>
    <col min="10" max="10" width="13.83203125" bestFit="1" customWidth="1"/>
  </cols>
  <sheetData>
    <row r="1" spans="1:27" ht="16" x14ac:dyDescent="0.2">
      <c r="A1" s="14" t="s">
        <v>71</v>
      </c>
      <c r="B1" s="14" t="s">
        <v>99</v>
      </c>
      <c r="C1" s="14" t="s">
        <v>72</v>
      </c>
      <c r="D1" s="42" t="s">
        <v>73</v>
      </c>
      <c r="E1" s="14" t="s">
        <v>74</v>
      </c>
      <c r="J1" s="13" t="s">
        <v>75</v>
      </c>
      <c r="K1" s="13"/>
      <c r="L1" s="13" t="s">
        <v>76</v>
      </c>
    </row>
    <row r="2" spans="1:27" x14ac:dyDescent="0.2">
      <c r="A2" s="36" t="s">
        <v>77</v>
      </c>
      <c r="B2" s="37">
        <v>7.0999999999999994E-2</v>
      </c>
      <c r="C2" s="37">
        <v>2.7044799999999999E-7</v>
      </c>
      <c r="D2" s="43">
        <v>2.7044799999999999E-5</v>
      </c>
      <c r="E2" s="36">
        <v>18.63</v>
      </c>
      <c r="J2" s="13" t="s">
        <v>78</v>
      </c>
      <c r="K2" s="18">
        <v>7.0000000000000001E-3</v>
      </c>
      <c r="L2" s="13" t="s">
        <v>16</v>
      </c>
    </row>
    <row r="3" spans="1:27" x14ac:dyDescent="0.2">
      <c r="A3" s="36" t="s">
        <v>79</v>
      </c>
      <c r="B3" s="37">
        <v>7.9200000000000007E-2</v>
      </c>
      <c r="C3" s="37">
        <v>3.01393E-7</v>
      </c>
      <c r="D3" s="43">
        <v>3.0139300000000001E-5</v>
      </c>
      <c r="E3" s="38">
        <v>15.5</v>
      </c>
      <c r="J3" s="13" t="s">
        <v>80</v>
      </c>
      <c r="K3" s="13">
        <v>0.93</v>
      </c>
      <c r="L3" s="13" t="s">
        <v>81</v>
      </c>
    </row>
    <row r="4" spans="1:27" x14ac:dyDescent="0.2">
      <c r="A4" s="36" t="s">
        <v>82</v>
      </c>
      <c r="B4" s="37">
        <v>5.0500000000000003E-2</v>
      </c>
      <c r="C4" s="37">
        <v>1.92096E-7</v>
      </c>
      <c r="D4" s="43">
        <v>1.92096E-5</v>
      </c>
      <c r="E4" s="38">
        <v>33.299999999999997</v>
      </c>
      <c r="J4" s="13" t="s">
        <v>83</v>
      </c>
      <c r="K4" s="13">
        <v>1785</v>
      </c>
      <c r="L4" s="13" t="s">
        <v>81</v>
      </c>
    </row>
    <row r="5" spans="1:27" ht="16" x14ac:dyDescent="0.2">
      <c r="A5" s="36" t="s">
        <v>84</v>
      </c>
      <c r="B5" s="37">
        <v>5.1700000000000003E-2</v>
      </c>
      <c r="C5" s="37">
        <v>1.9665500000000001E-7</v>
      </c>
      <c r="D5" s="43">
        <v>1.96655E-5</v>
      </c>
      <c r="E5" s="38">
        <v>32</v>
      </c>
      <c r="J5" s="13" t="s">
        <v>85</v>
      </c>
      <c r="K5" s="21">
        <v>0.89</v>
      </c>
      <c r="L5" s="13" t="s">
        <v>86</v>
      </c>
    </row>
    <row r="6" spans="1:27" x14ac:dyDescent="0.2">
      <c r="A6" s="38" t="s">
        <v>42</v>
      </c>
      <c r="B6" s="37">
        <v>2.2800000000000001E-2</v>
      </c>
      <c r="C6" s="37">
        <v>8.6914499999999994E-8</v>
      </c>
      <c r="D6" s="43">
        <v>8.6914499999999996E-6</v>
      </c>
      <c r="E6" s="31">
        <v>128</v>
      </c>
      <c r="J6" s="13" t="s">
        <v>87</v>
      </c>
      <c r="K6" s="17">
        <v>1.2129208640000001E-4</v>
      </c>
      <c r="L6" s="13" t="s">
        <v>100</v>
      </c>
    </row>
    <row r="7" spans="1:27" x14ac:dyDescent="0.2">
      <c r="A7" s="38" t="s">
        <v>43</v>
      </c>
      <c r="B7" s="37">
        <v>2.0400000000000001E-2</v>
      </c>
      <c r="C7" s="37">
        <v>7.7648600000000001E-8</v>
      </c>
      <c r="D7" s="43">
        <v>7.7648599999999997E-6</v>
      </c>
      <c r="E7" s="31">
        <v>155</v>
      </c>
      <c r="J7" s="13" t="s">
        <v>88</v>
      </c>
      <c r="K7" s="13">
        <v>0.38100000000000001</v>
      </c>
      <c r="L7" s="13" t="s">
        <v>89</v>
      </c>
    </row>
    <row r="8" spans="1:27" x14ac:dyDescent="0.2">
      <c r="A8" s="38" t="s">
        <v>44</v>
      </c>
      <c r="B8" s="37">
        <v>1.8599999999999998E-2</v>
      </c>
      <c r="C8" s="37">
        <v>7.0641000000000004E-8</v>
      </c>
      <c r="D8" s="43">
        <v>7.0640999999999998E-6</v>
      </c>
      <c r="E8" s="31">
        <v>182</v>
      </c>
      <c r="J8" s="13" t="s">
        <v>90</v>
      </c>
      <c r="K8" s="13">
        <v>25</v>
      </c>
      <c r="L8" s="13" t="s">
        <v>91</v>
      </c>
    </row>
    <row r="9" spans="1:27" x14ac:dyDescent="0.2">
      <c r="A9" s="38" t="s">
        <v>45</v>
      </c>
      <c r="B9" s="37">
        <v>1.7100000000000001E-2</v>
      </c>
      <c r="C9" s="37">
        <v>6.4930899999999995E-8</v>
      </c>
      <c r="D9" s="43">
        <v>6.4930899999999999E-6</v>
      </c>
      <c r="E9" s="31">
        <v>210</v>
      </c>
      <c r="J9" s="17" t="s">
        <v>92</v>
      </c>
      <c r="K9" s="17">
        <v>1</v>
      </c>
      <c r="L9" s="13"/>
    </row>
    <row r="10" spans="1:27" x14ac:dyDescent="0.2">
      <c r="A10" s="38" t="s">
        <v>46</v>
      </c>
      <c r="B10" s="37">
        <v>1.5900000000000001E-2</v>
      </c>
      <c r="C10" s="37">
        <v>6.0466099999999999E-8</v>
      </c>
      <c r="D10" s="43">
        <v>6.0466099999999997E-6</v>
      </c>
      <c r="E10" s="31">
        <v>237</v>
      </c>
      <c r="J10" s="17" t="s">
        <v>93</v>
      </c>
      <c r="K10" s="17">
        <v>1.5</v>
      </c>
      <c r="L10" s="13"/>
      <c r="Y10" s="22"/>
      <c r="Z10" s="22"/>
      <c r="AA10" s="23"/>
    </row>
    <row r="11" spans="1:27" x14ac:dyDescent="0.2">
      <c r="A11" s="38" t="s">
        <v>47</v>
      </c>
      <c r="B11" s="37">
        <v>1.49E-2</v>
      </c>
      <c r="C11" s="37">
        <v>5.6616999999999997E-8</v>
      </c>
      <c r="D11" s="43">
        <v>5.6617000000000004E-6</v>
      </c>
      <c r="E11" s="31">
        <v>265</v>
      </c>
      <c r="J11" s="17" t="s">
        <v>94</v>
      </c>
      <c r="K11" s="17">
        <v>0.38100000000000001</v>
      </c>
      <c r="L11" s="13"/>
      <c r="Y11" s="24"/>
      <c r="Z11" s="25"/>
      <c r="AA11" s="25"/>
    </row>
    <row r="12" spans="1:27" x14ac:dyDescent="0.2">
      <c r="A12" s="38" t="s">
        <v>48</v>
      </c>
      <c r="B12" s="37">
        <v>1.4E-2</v>
      </c>
      <c r="C12" s="37">
        <v>5.3472200000000002E-8</v>
      </c>
      <c r="D12" s="43">
        <v>5.3472199999999999E-6</v>
      </c>
      <c r="E12" s="31">
        <v>292</v>
      </c>
      <c r="J12" s="17" t="s">
        <v>95</v>
      </c>
      <c r="K12" s="17">
        <v>1.05</v>
      </c>
      <c r="L12" s="13"/>
      <c r="Y12" s="24"/>
      <c r="Z12" s="25"/>
      <c r="AA12" s="25"/>
    </row>
    <row r="13" spans="1:27" x14ac:dyDescent="0.2">
      <c r="A13" s="38" t="s">
        <v>49</v>
      </c>
      <c r="B13" s="37">
        <v>2.5499999999999998E-2</v>
      </c>
      <c r="C13" s="37">
        <v>9.7125599999999997E-8</v>
      </c>
      <c r="D13" s="37">
        <v>9.7125599999999997E-6</v>
      </c>
      <c r="E13" s="44">
        <v>106</v>
      </c>
      <c r="J13" s="17" t="s">
        <v>96</v>
      </c>
      <c r="K13" s="17">
        <v>1.6962843299999999</v>
      </c>
      <c r="L13" s="13"/>
      <c r="Y13" s="24"/>
      <c r="Z13" s="25"/>
      <c r="AA13" s="25"/>
    </row>
    <row r="14" spans="1:27" x14ac:dyDescent="0.2">
      <c r="A14" s="38" t="s">
        <v>50</v>
      </c>
      <c r="B14" s="37">
        <v>2.2200000000000001E-2</v>
      </c>
      <c r="C14" s="37">
        <v>8.4600700000000001E-8</v>
      </c>
      <c r="D14" s="37">
        <v>8.4600700000000001E-6</v>
      </c>
      <c r="E14" s="31">
        <v>134</v>
      </c>
      <c r="Y14" s="24"/>
      <c r="Z14" s="25"/>
      <c r="AA14" s="25"/>
    </row>
    <row r="15" spans="1:27" x14ac:dyDescent="0.2">
      <c r="A15" s="38" t="s">
        <v>57</v>
      </c>
      <c r="B15" s="37">
        <v>1.8100000000000002E-2</v>
      </c>
      <c r="C15" s="37">
        <v>6.9088000000000003E-8</v>
      </c>
      <c r="D15" s="37">
        <v>6.9087999999999998E-6</v>
      </c>
      <c r="E15" s="31">
        <v>189</v>
      </c>
      <c r="Y15" s="24"/>
      <c r="Z15" s="25"/>
      <c r="AA15" s="25"/>
    </row>
    <row r="16" spans="1:27" x14ac:dyDescent="0.2">
      <c r="A16" s="38" t="s">
        <v>51</v>
      </c>
      <c r="B16" s="37">
        <v>1.9900000000000001E-2</v>
      </c>
      <c r="C16" s="37">
        <v>7.5654499999999998E-8</v>
      </c>
      <c r="D16" s="37">
        <v>7.5654499999999997E-6</v>
      </c>
      <c r="E16" s="31">
        <v>162</v>
      </c>
      <c r="Y16" s="24"/>
      <c r="Z16" s="25"/>
      <c r="AA16" s="25"/>
    </row>
    <row r="17" spans="1:27" x14ac:dyDescent="0.2">
      <c r="A17" s="38" t="s">
        <v>52</v>
      </c>
      <c r="B17" s="37">
        <v>1.67E-2</v>
      </c>
      <c r="C17" s="37">
        <v>6.3688999999999995E-8</v>
      </c>
      <c r="D17" s="37">
        <v>6.3689000000000001E-6</v>
      </c>
      <c r="E17" s="31">
        <v>217</v>
      </c>
      <c r="Y17" s="24"/>
      <c r="Z17" s="25"/>
      <c r="AA17" s="25"/>
    </row>
    <row r="18" spans="1:27" x14ac:dyDescent="0.2">
      <c r="A18" s="38" t="s">
        <v>53</v>
      </c>
      <c r="B18" s="37">
        <v>1.46E-2</v>
      </c>
      <c r="C18" s="37">
        <v>5.5754200000000002E-8</v>
      </c>
      <c r="D18" s="37">
        <v>5.5754199999999997E-6</v>
      </c>
      <c r="E18" s="31">
        <v>272</v>
      </c>
      <c r="Y18" s="24"/>
      <c r="Z18" s="25"/>
      <c r="AA18" s="25"/>
    </row>
    <row r="19" spans="1:27" x14ac:dyDescent="0.2">
      <c r="A19" s="38" t="s">
        <v>54</v>
      </c>
      <c r="B19" s="37">
        <v>1.78E-2</v>
      </c>
      <c r="C19" s="37">
        <v>6.7827899999999998E-8</v>
      </c>
      <c r="D19" s="37">
        <v>6.7827899999999998E-6</v>
      </c>
      <c r="E19" s="31">
        <v>195</v>
      </c>
      <c r="Y19" s="24"/>
      <c r="Z19" s="25"/>
      <c r="AA19" s="25"/>
    </row>
    <row r="20" spans="1:27" x14ac:dyDescent="0.2">
      <c r="A20" s="38" t="s">
        <v>55</v>
      </c>
      <c r="B20" s="37">
        <v>1.54E-2</v>
      </c>
      <c r="C20" s="37">
        <v>5.8593900000000003E-8</v>
      </c>
      <c r="D20" s="37">
        <v>5.8593900000000003E-6</v>
      </c>
      <c r="E20" s="31">
        <v>250</v>
      </c>
      <c r="Y20" s="24"/>
      <c r="Z20" s="25"/>
      <c r="AA20" s="25"/>
    </row>
    <row r="21" spans="1:27" x14ac:dyDescent="0.2">
      <c r="A21" s="38" t="s">
        <v>56</v>
      </c>
      <c r="B21" s="37">
        <v>1.37E-2</v>
      </c>
      <c r="C21" s="37">
        <v>5.21178E-8</v>
      </c>
      <c r="D21" s="37">
        <v>5.2117800000000001E-6</v>
      </c>
      <c r="E21" s="31">
        <v>305</v>
      </c>
      <c r="Y21" s="24"/>
      <c r="Z21" s="25"/>
      <c r="AA21" s="25"/>
    </row>
    <row r="22" spans="1:27" x14ac:dyDescent="0.2">
      <c r="A22" s="38" t="s">
        <v>97</v>
      </c>
      <c r="B22" s="37">
        <v>1.5800000000000002E-2</v>
      </c>
      <c r="C22" s="37">
        <v>6.0019800000000007E-8</v>
      </c>
      <c r="D22" s="37">
        <v>6.0019799999999998E-6</v>
      </c>
      <c r="E22" s="31">
        <v>240</v>
      </c>
      <c r="Y22" s="24"/>
      <c r="Z22" s="25"/>
      <c r="AA22" s="25"/>
    </row>
    <row r="23" spans="1:27" x14ac:dyDescent="0.2">
      <c r="A23" s="38" t="s">
        <v>98</v>
      </c>
      <c r="B23" s="37">
        <v>1.5299999999999999E-2</v>
      </c>
      <c r="C23" s="37">
        <v>5.8319500000000002E-8</v>
      </c>
      <c r="D23" s="37">
        <v>5.8319500000000001E-6</v>
      </c>
      <c r="E23" s="31">
        <v>252</v>
      </c>
      <c r="Y23" s="24"/>
      <c r="Z23" s="25"/>
      <c r="AA23" s="25"/>
    </row>
    <row r="24" spans="1:27" x14ac:dyDescent="0.2">
      <c r="A24" s="24"/>
      <c r="B24" s="25"/>
      <c r="C24" s="25"/>
      <c r="Y24" s="24"/>
      <c r="Z24" s="25"/>
      <c r="AA24" s="25"/>
    </row>
    <row r="25" spans="1:27" x14ac:dyDescent="0.2">
      <c r="A25" s="24"/>
      <c r="B25" s="25"/>
      <c r="C25" s="25"/>
      <c r="Y25" s="24"/>
      <c r="Z25" s="25"/>
      <c r="AA25" s="25"/>
    </row>
    <row r="26" spans="1:27" x14ac:dyDescent="0.2">
      <c r="A26" s="24"/>
      <c r="B26" s="25"/>
      <c r="C26" s="25"/>
      <c r="Y26" s="24"/>
      <c r="Z26" s="25"/>
      <c r="AA26" s="25"/>
    </row>
    <row r="27" spans="1:27" x14ac:dyDescent="0.2">
      <c r="A27" s="24"/>
      <c r="B27" s="25"/>
      <c r="C27" s="25"/>
      <c r="Y27" s="24"/>
      <c r="Z27" s="25"/>
      <c r="AA27" s="25"/>
    </row>
    <row r="28" spans="1:27" x14ac:dyDescent="0.2">
      <c r="A28" s="24"/>
      <c r="B28" s="25"/>
      <c r="C28" s="25"/>
      <c r="Y28" s="24"/>
      <c r="Z28" s="25"/>
      <c r="AA28" s="25"/>
    </row>
    <row r="29" spans="1:27" x14ac:dyDescent="0.2">
      <c r="A29" s="24"/>
      <c r="B29" s="25"/>
      <c r="C29" s="25"/>
    </row>
    <row r="30" spans="1:27" x14ac:dyDescent="0.2">
      <c r="A30" s="24"/>
      <c r="B30" s="25"/>
      <c r="C30" s="25"/>
    </row>
    <row r="31" spans="1:27" x14ac:dyDescent="0.2">
      <c r="A31" s="24"/>
      <c r="B31" s="25"/>
      <c r="C31" s="25"/>
    </row>
    <row r="32" spans="1:27" x14ac:dyDescent="0.2">
      <c r="A32" s="24"/>
      <c r="B32" s="25"/>
      <c r="C32" s="25"/>
    </row>
    <row r="33" spans="1:25" x14ac:dyDescent="0.2">
      <c r="A33" s="24"/>
      <c r="B33" s="25"/>
      <c r="C33" s="25"/>
    </row>
    <row r="34" spans="1:25" x14ac:dyDescent="0.2">
      <c r="A34" s="24"/>
      <c r="B34" s="25"/>
      <c r="C34" s="25"/>
    </row>
    <row r="35" spans="1:25" x14ac:dyDescent="0.2">
      <c r="A35" s="41"/>
      <c r="B35" s="41"/>
      <c r="C35" s="41"/>
    </row>
    <row r="36" spans="1:25" x14ac:dyDescent="0.2">
      <c r="A36" s="41"/>
      <c r="B36" s="41"/>
      <c r="C36" s="25"/>
    </row>
    <row r="37" spans="1:25" x14ac:dyDescent="0.2">
      <c r="A37" s="41"/>
      <c r="B37" s="41"/>
      <c r="C37" s="25"/>
    </row>
    <row r="38" spans="1:25" x14ac:dyDescent="0.2">
      <c r="A38" s="41"/>
      <c r="B38" s="41"/>
      <c r="C38" s="25"/>
    </row>
    <row r="43" spans="1:25" x14ac:dyDescent="0.2">
      <c r="A43" s="6"/>
      <c r="B43" s="26"/>
      <c r="C43" s="26"/>
      <c r="D43" s="26"/>
      <c r="E43" s="26"/>
      <c r="F43" s="26"/>
      <c r="G43" s="26"/>
      <c r="H43" s="26"/>
      <c r="I43" s="26"/>
      <c r="J43" s="26"/>
      <c r="K43" s="26"/>
      <c r="L43" s="26"/>
      <c r="M43" s="26"/>
      <c r="N43" s="26"/>
      <c r="O43" s="26"/>
      <c r="P43" s="26"/>
      <c r="Q43" s="26"/>
      <c r="R43" s="26"/>
      <c r="S43" s="26"/>
      <c r="T43" s="26"/>
      <c r="U43" s="26"/>
      <c r="V43" s="26"/>
      <c r="W43" s="26"/>
      <c r="X43" s="26"/>
      <c r="Y43" s="26"/>
    </row>
    <row r="44" spans="1:25" x14ac:dyDescent="0.2">
      <c r="A44" s="6"/>
      <c r="B44" s="6"/>
      <c r="C44" s="6"/>
      <c r="D44" s="6"/>
      <c r="E44" s="6"/>
      <c r="F44" s="6"/>
      <c r="G44" s="6"/>
      <c r="H44" s="6"/>
      <c r="I44" s="6"/>
      <c r="J44" s="6"/>
      <c r="K44" s="6"/>
      <c r="L44" s="6"/>
      <c r="M44" s="6"/>
      <c r="N44" s="6"/>
      <c r="O44" s="6"/>
      <c r="P44" s="6"/>
      <c r="Q44" s="6"/>
      <c r="R44" s="6"/>
      <c r="S44" s="6"/>
      <c r="T44" s="6"/>
      <c r="U44" s="6"/>
      <c r="V44" s="6"/>
      <c r="W44" s="6"/>
      <c r="X44" s="10"/>
      <c r="Y44" s="6"/>
    </row>
    <row r="45" spans="1:25"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2">
      <c r="A46" s="6"/>
      <c r="B46" s="6"/>
      <c r="C46" s="6"/>
      <c r="D46" s="6"/>
      <c r="E46" s="6"/>
      <c r="F46" s="6"/>
      <c r="G46" s="6"/>
      <c r="H46" s="6"/>
      <c r="I46" s="6"/>
      <c r="J46" s="6"/>
      <c r="K46" s="6"/>
      <c r="L46" s="6"/>
      <c r="M46" s="6"/>
      <c r="N46" s="6"/>
      <c r="O46" s="6"/>
      <c r="P46" s="6"/>
      <c r="Q46" s="6"/>
      <c r="R46" s="6"/>
      <c r="S46" s="6"/>
      <c r="T46" s="6"/>
      <c r="U46" s="6"/>
      <c r="V46" s="6"/>
      <c r="W46" s="6"/>
      <c r="X46" s="6"/>
      <c r="Y46" s="6"/>
    </row>
    <row r="47" spans="1:25"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2">
      <c r="A48" s="6"/>
      <c r="B48" s="6"/>
      <c r="C48" s="6"/>
      <c r="D48" s="6"/>
      <c r="E48" s="6"/>
      <c r="F48" s="12"/>
      <c r="G48" s="12"/>
      <c r="H48" s="6"/>
      <c r="I48" s="6"/>
      <c r="J48" s="12"/>
      <c r="K48" s="6"/>
      <c r="L48" s="6"/>
      <c r="M48" s="12"/>
      <c r="N48" s="6"/>
      <c r="O48" s="6"/>
      <c r="P48" s="6"/>
      <c r="Q48" s="6"/>
      <c r="R48" s="12"/>
      <c r="S48" s="6"/>
      <c r="T48" s="6"/>
      <c r="U48" s="6"/>
      <c r="V48" s="6"/>
      <c r="W48" s="6"/>
      <c r="X48" s="6"/>
      <c r="Y48" s="6"/>
    </row>
    <row r="49" spans="1:25" x14ac:dyDescent="0.2">
      <c r="A49" s="6"/>
      <c r="B49" s="6"/>
      <c r="C49" s="6"/>
      <c r="D49" s="6"/>
      <c r="E49" s="6"/>
      <c r="F49" s="6"/>
      <c r="G49" s="6"/>
      <c r="H49" s="6"/>
      <c r="I49" s="6"/>
      <c r="J49" s="6"/>
      <c r="K49" s="6"/>
      <c r="L49" s="6"/>
      <c r="M49" s="6"/>
      <c r="N49" s="6"/>
      <c r="O49" s="6"/>
      <c r="P49" s="6"/>
      <c r="Q49" s="6"/>
      <c r="R49" s="6"/>
      <c r="S49" s="6"/>
      <c r="T49" s="6"/>
      <c r="U49" s="6"/>
      <c r="V49" s="6"/>
      <c r="W49" s="6"/>
      <c r="X49" s="6"/>
      <c r="Y4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57DF-418B-48B7-8133-ABF04E7715B5}">
  <dimension ref="A1:B9"/>
  <sheetViews>
    <sheetView zoomScale="69" workbookViewId="0">
      <selection activeCell="B4" sqref="B4"/>
    </sheetView>
    <sheetView workbookViewId="1"/>
  </sheetViews>
  <sheetFormatPr baseColWidth="10" defaultColWidth="8.83203125" defaultRowHeight="31" x14ac:dyDescent="0.35"/>
  <cols>
    <col min="1" max="1" width="9.1640625" style="2"/>
    <col min="2" max="2" width="148" style="3" customWidth="1"/>
  </cols>
  <sheetData>
    <row r="1" spans="1:2" ht="32" x14ac:dyDescent="0.35">
      <c r="B1" s="4" t="s">
        <v>35</v>
      </c>
    </row>
    <row r="2" spans="1:2" ht="64" x14ac:dyDescent="0.35">
      <c r="A2" s="2">
        <v>1</v>
      </c>
      <c r="B2" s="3" t="s">
        <v>36</v>
      </c>
    </row>
    <row r="3" spans="1:2" ht="64" x14ac:dyDescent="0.35">
      <c r="A3" s="2">
        <v>2</v>
      </c>
      <c r="B3" s="3" t="s">
        <v>37</v>
      </c>
    </row>
    <row r="4" spans="1:2" ht="128" x14ac:dyDescent="0.35">
      <c r="A4" s="2">
        <v>3</v>
      </c>
      <c r="B4" s="3" t="s">
        <v>41</v>
      </c>
    </row>
    <row r="6" spans="1:2" ht="64" x14ac:dyDescent="0.35">
      <c r="A6" s="2">
        <v>4</v>
      </c>
      <c r="B6" s="3" t="s">
        <v>38</v>
      </c>
    </row>
    <row r="7" spans="1:2" ht="64" x14ac:dyDescent="0.35">
      <c r="A7" s="2">
        <v>5</v>
      </c>
      <c r="B7" s="3" t="s">
        <v>39</v>
      </c>
    </row>
    <row r="9" spans="1:2" ht="64" x14ac:dyDescent="0.35">
      <c r="A9" s="2">
        <v>6</v>
      </c>
      <c r="B9" s="3"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s_x0020_Date xmlns="ca243fbf-11ff-4731-ae3b-9fc118f3bbf4" xsi:nil="true"/>
    <Record xmlns="4ffa91fb-a0ff-4ac5-b2db-65c790d184a4">Shared</Record>
    <Rights xmlns="4ffa91fb-a0ff-4ac5-b2db-65c790d184a4" xsi:nil="true"/>
    <Records_x0020_Status xmlns="ca243fbf-11ff-4731-ae3b-9fc118f3bbf4">Pending</Records_x0020_Status>
    <Document_x0020_Creation_x0020_Date xmlns="4ffa91fb-a0ff-4ac5-b2db-65c790d184a4">2020-06-12T12:44:56+00:00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3E377063FFE5489A04E78E6AF321F7" ma:contentTypeVersion="21" ma:contentTypeDescription="Create a new document." ma:contentTypeScope="" ma:versionID="0d56b0910c09b2f28088e837fc8a4b1f">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a243fbf-11ff-4731-ae3b-9fc118f3bbf4" xmlns:ns7="d75150bc-12f9-4c92-a7eb-e71bcd8ee9be" targetNamespace="http://schemas.microsoft.com/office/2006/metadata/properties" ma:root="true" ma:fieldsID="c38d2d5698dbedce593845e142ad0a0f" ns1:_="" ns3:_="" ns4:_="" ns5:_="" ns6:_="" ns7:_="">
    <xsd:import namespace="http://schemas.microsoft.com/sharepoint/v3"/>
    <xsd:import namespace="4ffa91fb-a0ff-4ac5-b2db-65c790d184a4"/>
    <xsd:import namespace="http://schemas.microsoft.com/sharepoint.v3"/>
    <xsd:import namespace="http://schemas.microsoft.com/sharepoint/v3/fields"/>
    <xsd:import namespace="ca243fbf-11ff-4731-ae3b-9fc118f3bbf4"/>
    <xsd:import namespace="d75150bc-12f9-4c92-a7eb-e71bcd8ee9be"/>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7:MediaServiceMetadata" minOccurs="0"/>
                <xsd:element ref="ns7:MediaServiceFastMetadata" minOccurs="0"/>
                <xsd:element ref="ns7:MediaServiceDateTaken" minOccurs="0"/>
                <xsd:element ref="ns7:MediaServiceAutoTags" minOccurs="0"/>
                <xsd:element ref="ns7:MediaServiceOCR" minOccurs="0"/>
                <xsd:element ref="ns6:Records_x0020_Status" minOccurs="0"/>
                <xsd:element ref="ns6:Records_x0020_Date" minOccurs="0"/>
                <xsd:element ref="ns7:MediaServiceEventHashCode" minOccurs="0"/>
                <xsd:element ref="ns7:MediaServiceGenerationTim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60f3e050-a167-4ccb-81b0-6594d9f55f70}" ma:internalName="TaxCatchAllLabel" ma:readOnly="true" ma:showField="CatchAllDataLabel" ma:web="ca243fbf-11ff-4731-ae3b-9fc118f3bbf4">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60f3e050-a167-4ccb-81b0-6594d9f55f70}" ma:internalName="TaxCatchAll" ma:showField="CatchAllData" ma:web="ca243fbf-11ff-4731-ae3b-9fc118f3bb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43fbf-11ff-4731-ae3b-9fc118f3bbf4"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internalName="SharingHintHash" ma:readOnly="true">
      <xsd:simpleType>
        <xsd:restriction base="dms:Text"/>
      </xsd:simpleType>
    </xsd:element>
    <xsd:element name="Records_x0020_Status" ma:index="36" nillable="true" ma:displayName="Records Status" ma:default="Pending" ma:internalName="Records_x0020_Status">
      <xsd:simpleType>
        <xsd:restriction base="dms:Text"/>
      </xsd:simpleType>
    </xsd:element>
    <xsd:element name="Records_x0020_Date" ma:index="37"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5150bc-12f9-4c92-a7eb-e71bcd8ee9be"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DateTaken" ma:index="33" nillable="true" ma:displayName="MediaServiceDateTaken" ma:description="" ma:hidden="true" ma:internalName="MediaServiceDateTaken" ma:readOnly="true">
      <xsd:simpleType>
        <xsd:restriction base="dms:Text"/>
      </xsd:simpleType>
    </xsd:element>
    <xsd:element name="MediaServiceAutoTags" ma:index="34" nillable="true" ma:displayName="MediaServiceAutoTags" ma:internalName="MediaServiceAutoTags" ma:readOnly="true">
      <xsd:simpleType>
        <xsd:restriction base="dms:Text"/>
      </xsd:simpleType>
    </xsd:element>
    <xsd:element name="MediaServiceOCR" ma:index="35" nillable="true" ma:displayName="MediaServiceOCR" ma:internalName="MediaServiceOCR" ma:readOnly="true">
      <xsd:simpleType>
        <xsd:restriction base="dms:Note">
          <xsd:maxLength value="255"/>
        </xsd:restriction>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E301F64B-2E68-42FE-B72F-07064BA5C6EE}">
  <ds:schemaRefs>
    <ds:schemaRef ds:uri="http://schemas.microsoft.com/sharepoint/v3/contenttype/forms"/>
  </ds:schemaRefs>
</ds:datastoreItem>
</file>

<file path=customXml/itemProps2.xml><?xml version="1.0" encoding="utf-8"?>
<ds:datastoreItem xmlns:ds="http://schemas.openxmlformats.org/officeDocument/2006/customXml" ds:itemID="{A5D2AB43-1478-4761-B6C2-35F0AE76DC6E}">
  <ds:schemaRef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http://purl.org/dc/terms/"/>
    <ds:schemaRef ds:uri="d75150bc-12f9-4c92-a7eb-e71bcd8ee9be"/>
    <ds:schemaRef ds:uri="ca243fbf-11ff-4731-ae3b-9fc118f3bbf4"/>
    <ds:schemaRef ds:uri="http://schemas.microsoft.com/office/2006/documentManagement/types"/>
    <ds:schemaRef ds:uri="http://schemas.microsoft.com/sharepoint/v3/fields"/>
    <ds:schemaRef ds:uri="http://schemas.microsoft.com/sharepoint.v3"/>
    <ds:schemaRef ds:uri="4ffa91fb-a0ff-4ac5-b2db-65c790d184a4"/>
    <ds:schemaRef ds:uri="http://www.w3.org/XML/1998/namespace"/>
    <ds:schemaRef ds:uri="http://purl.org/dc/dcmitype/"/>
  </ds:schemaRefs>
</ds:datastoreItem>
</file>

<file path=customXml/itemProps3.xml><?xml version="1.0" encoding="utf-8"?>
<ds:datastoreItem xmlns:ds="http://schemas.openxmlformats.org/officeDocument/2006/customXml" ds:itemID="{E0D265CA-67CD-4AD3-99A3-30810910E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a243fbf-11ff-4731-ae3b-9fc118f3bbf4"/>
    <ds:schemaRef ds:uri="d75150bc-12f9-4c92-a7eb-e71bcd8ee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BB79E98-5AD2-42D4-8617-624CBCC2A96C}">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Properties</vt:lpstr>
      <vt:lpstr>Kdata</vt:lpstr>
      <vt:lpstr>columnSpecs</vt:lpstr>
      <vt:lpstr>data</vt:lpstr>
      <vt:lpstr>kf_val</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Burkhardt, Jonathan</dc:creator>
  <cp:lastModifiedBy>Mohammed Faran</cp:lastModifiedBy>
  <dcterms:created xsi:type="dcterms:W3CDTF">2020-06-12T12:40:36Z</dcterms:created>
  <dcterms:modified xsi:type="dcterms:W3CDTF">2026-05-05T18:43:40Z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0x010100AA3E377063FFE5489A04E78E6AF321F7</vt:lpwstr>
  </property>
</Properties>
</file>