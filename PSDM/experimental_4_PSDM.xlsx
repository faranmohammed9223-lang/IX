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mohammedfaran/Desktop/Research Data/Experimental_Data(PSDM)/"/>
    </mc:Choice>
  </mc:AlternateContent>
  <xr:revisionPtr revIDLastSave="0" documentId="13_ncr:1_{8C6C168B-ED96-A942-88E5-F3F33F45EFEB}" xr6:coauthVersionLast="47" xr6:coauthVersionMax="47" xr10:uidLastSave="{00000000-0000-0000-0000-000000000000}"/>
  <bookViews>
    <workbookView visibility="hidden" xWindow="0" yWindow="0" windowWidth="28800" windowHeight="18000" activeTab="1" xr2:uid="{317BF3F6-A68C-4964-9BC3-AEDC7E3058F4}"/>
    <workbookView xWindow="15220" yWindow="580" windowWidth="15140" windowHeight="16300" activeTab="3" xr2:uid="{98653675-A938-D14F-A750-90C4B098C7EB}"/>
  </bookViews>
  <sheets>
    <sheet name="Properties" sheetId="1" r:id="rId1"/>
    <sheet name="Kdata" sheetId="3" r:id="rId2"/>
    <sheet name="columnSpecs" sheetId="4" r:id="rId3"/>
    <sheet name="data" sheetId="5" r:id="rId4"/>
    <sheet name="kf_val" sheetId="7" r:id="rId5"/>
    <sheet name="Not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4" l="1"/>
  <c r="B9" i="4"/>
  <c r="B3" i="4"/>
  <c r="Y3" i="1"/>
  <c r="X3" i="1"/>
  <c r="W3" i="1"/>
  <c r="V3" i="1"/>
  <c r="U3" i="1"/>
  <c r="S3" i="1"/>
  <c r="R3" i="1"/>
  <c r="O3" i="1"/>
  <c r="N3" i="1"/>
  <c r="M3" i="1"/>
  <c r="L3" i="1"/>
  <c r="J3" i="1"/>
  <c r="G3" i="1"/>
  <c r="D3" i="1"/>
  <c r="C3" i="1"/>
  <c r="B3" i="1"/>
</calcChain>
</file>

<file path=xl/sharedStrings.xml><?xml version="1.0" encoding="utf-8"?>
<sst xmlns="http://schemas.openxmlformats.org/spreadsheetml/2006/main" count="890" uniqueCount="112">
  <si>
    <t>MW</t>
  </si>
  <si>
    <t>MolarVol</t>
  </si>
  <si>
    <t>BP</t>
  </si>
  <si>
    <t>Density</t>
  </si>
  <si>
    <t>Solubility</t>
  </si>
  <si>
    <t>VaporPress</t>
  </si>
  <si>
    <t>K</t>
  </si>
  <si>
    <t>1/n</t>
  </si>
  <si>
    <t>q</t>
  </si>
  <si>
    <t>brk</t>
  </si>
  <si>
    <t>AveC</t>
  </si>
  <si>
    <t>name</t>
  </si>
  <si>
    <t>value</t>
  </si>
  <si>
    <t>units</t>
  </si>
  <si>
    <t>carbonID</t>
  </si>
  <si>
    <t>radius</t>
  </si>
  <si>
    <t>cm</t>
  </si>
  <si>
    <t>porosity</t>
  </si>
  <si>
    <t>psdfr</t>
  </si>
  <si>
    <t>particleDensity</t>
  </si>
  <si>
    <t>g/ml</t>
  </si>
  <si>
    <t>length</t>
  </si>
  <si>
    <t>weight</t>
  </si>
  <si>
    <t>flowrate</t>
  </si>
  <si>
    <t>diameter</t>
  </si>
  <si>
    <t>tortuosity</t>
  </si>
  <si>
    <t>influentID</t>
  </si>
  <si>
    <t>influent</t>
  </si>
  <si>
    <t>effluentID</t>
  </si>
  <si>
    <t>effluent</t>
  </si>
  <si>
    <t>apparentDensity</t>
  </si>
  <si>
    <t>time</t>
  </si>
  <si>
    <t>type</t>
  </si>
  <si>
    <t>concentration</t>
  </si>
  <si>
    <t>compound</t>
  </si>
  <si>
    <t>This file contains information for example run of Python-based PSDM Model</t>
  </si>
  <si>
    <t>Python script is provided the names of sheets that contain data, additional sheets can be included, and will not be used unless specified</t>
  </si>
  <si>
    <t>Python is case-sensitive, compound name and other input columns should be consistent throughout</t>
  </si>
  <si>
    <t>"Properties" and "Kdata" can be in individual files for real use, included in this single file for convenience. (Since these might be reused for multiple runs)</t>
  </si>
  <si>
    <t xml:space="preserve">Properties and Kdata can contain compounds that do not exist in data, but if it is in "data" there must be a corresponding Properties column/info. </t>
  </si>
  <si>
    <t>Kdata is only necessary if you are running with a known K &amp; 1/n value. If using optimizer features, then Kdata will be generated from that analysis.</t>
  </si>
  <si>
    <t>Python also pays attention to extra spaces, or characters. If data is accidently stored in columns outside the format in this file, then full row/column deletes must be used to remove those possible hidden characters. Also, blank spaces at the end of text will be read explicitly, and may cause errors in reading in parameters/values.</t>
  </si>
  <si>
    <t>PFBA</t>
  </si>
  <si>
    <t>PFPeA</t>
  </si>
  <si>
    <t>PFHxA</t>
  </si>
  <si>
    <t>PFHpA</t>
  </si>
  <si>
    <t>PFOA</t>
  </si>
  <si>
    <t>PFNA</t>
  </si>
  <si>
    <t>PFDA</t>
  </si>
  <si>
    <t>PFMOAA</t>
  </si>
  <si>
    <t>PMPA</t>
  </si>
  <si>
    <t>PFBS</t>
  </si>
  <si>
    <t>PFHxS</t>
  </si>
  <si>
    <t>PFOS</t>
  </si>
  <si>
    <t>4:2FTS</t>
  </si>
  <si>
    <t>6:2FTS</t>
  </si>
  <si>
    <t>8:2FTS</t>
  </si>
  <si>
    <t>GenX</t>
  </si>
  <si>
    <t>NafionBP2</t>
  </si>
  <si>
    <t>PFNS</t>
  </si>
  <si>
    <t>PFO2HxA</t>
  </si>
  <si>
    <t>PFO3OA</t>
  </si>
  <si>
    <t>PFO4DA</t>
  </si>
  <si>
    <t>PFMOPrA</t>
  </si>
  <si>
    <t>PFHpS</t>
  </si>
  <si>
    <t>PFPrS</t>
  </si>
  <si>
    <t>PFPeS</t>
  </si>
  <si>
    <t>PFA694e</t>
  </si>
  <si>
    <t>g</t>
  </si>
  <si>
    <t>cm3/min</t>
  </si>
  <si>
    <t>min</t>
  </si>
  <si>
    <t>Type</t>
  </si>
  <si>
    <t>DL (m2/L)</t>
  </si>
  <si>
    <t>DL (cm^2/s)</t>
  </si>
  <si>
    <t>Vb</t>
  </si>
  <si>
    <t>constants</t>
  </si>
  <si>
    <t>unit</t>
  </si>
  <si>
    <t>CHLORIDE</t>
  </si>
  <si>
    <t>dp</t>
  </si>
  <si>
    <t>SULFATE</t>
  </si>
  <si>
    <t>Re</t>
  </si>
  <si>
    <t>unitless</t>
  </si>
  <si>
    <t>BICARBONATE</t>
  </si>
  <si>
    <t>Sc</t>
  </si>
  <si>
    <t>NITRATE</t>
  </si>
  <si>
    <t>u</t>
  </si>
  <si>
    <t>cP</t>
  </si>
  <si>
    <t>vf</t>
  </si>
  <si>
    <t>porosity €</t>
  </si>
  <si>
    <t xml:space="preserve">non </t>
  </si>
  <si>
    <t>temp</t>
  </si>
  <si>
    <t>C deg</t>
  </si>
  <si>
    <t>n =</t>
  </si>
  <si>
    <t xml:space="preserve">shape factor = </t>
  </si>
  <si>
    <t>bed porosity</t>
  </si>
  <si>
    <t>density</t>
  </si>
  <si>
    <t>apparent density</t>
  </si>
  <si>
    <t>NFB1</t>
  </si>
  <si>
    <t>NFB2</t>
  </si>
  <si>
    <t>kf (cm/s)</t>
  </si>
  <si>
    <t>cm/s</t>
  </si>
  <si>
    <t>Compound  C₀ (ng/L)  K (µg/g)/(ng/L)      q (µg/g)  Breakthrough (days)  Final C/C₀  Mass Adsorbed (µg)  Dₐᵦ (cm²/s)   Dₚ (cm²/s)  Molar Volume (cm³/mol)</t>
  </si>
  <si>
    <t xml:space="preserve">  4:2FTS    300.000       126.387484  37916.245147             1.860752    1.276549         2934.717374 3.480221e-08 1.325964e-08                     195</t>
  </si>
  <si>
    <t xml:space="preserve">  6:2FTS    290.820       330.715997  96178.826152             3.578368    0.462423         7444.241144 3.006426e-08 1.145448e-08                     250</t>
  </si>
  <si>
    <t xml:space="preserve">    GenX    334.840       244.597954  81901.178863             3.292099    1.021008         6339.151244 3.544878e-08 1.350598e-08                     189</t>
  </si>
  <si>
    <t xml:space="preserve">    PFBA    407.480        44.865836  18281.930717             3.578368    0.996383         1415.021437 4.459545e-08 1.699087e-08                     128</t>
  </si>
  <si>
    <t xml:space="preserve">   PFHpA    327.625       335.957637 110068.120931             3.578368    0.384491         8519.272560 3.331579e-08 1.269331e-08                     210</t>
  </si>
  <si>
    <t xml:space="preserve">   PFHxA    349.000       235.655257  82243.684793             3.578368    0.995219         6365.661203 3.624559e-08 1.380957e-08                     182</t>
  </si>
  <si>
    <t xml:space="preserve">  PFMOAA    290.540        45.350354  13176.091995             0.715674    1.003592         1019.829520 4.983473e-08 1.898703e-08                     106</t>
  </si>
  <si>
    <t xml:space="preserve">   PFPeA    347.255       140.881473  48921.795965             1.860752    1.293426         3786.547008 3.984115e-08 1.517948e-08                     155</t>
  </si>
  <si>
    <t xml:space="preserve">    PMPA    211.265        86.108870  18191.790499             1.288213    1.142416         1408.044585 4.340827e-08 1.653855e-08                     134</t>
  </si>
  <si>
    <t>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</si>
</sst>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 \ "/>
  </numFmts>
  <fonts count="15" x14ac:knownFonts="1">
    <font>
      <sz val="11"/>
      <color theme="1"/>
      <name val="Calibri"/>
      <family val="2"/>
      <scheme val="minor"/>
    </font>
    <font>
      <b/>
      <sz val="11"/>
      <color theme="1"/>
      <name val="Calibri"/>
      <family val="2"/>
      <scheme val="minor"/>
    </font>
    <font>
      <sz val="11"/>
      <color rgb="FF000000"/>
      <name val="Calibri"/>
      <family val="2"/>
      <scheme val="minor"/>
    </font>
    <font>
      <sz val="16"/>
      <color theme="1"/>
      <name val="Calibri"/>
      <family val="2"/>
      <scheme val="minor"/>
    </font>
    <font>
      <sz val="24"/>
      <color theme="1"/>
      <name val="Calibri"/>
      <family val="2"/>
      <scheme val="minor"/>
    </font>
    <font>
      <b/>
      <sz val="24"/>
      <color rgb="FFFF0000"/>
      <name val="Calibri"/>
      <family val="2"/>
      <scheme val="minor"/>
    </font>
    <font>
      <sz val="11"/>
      <color theme="1"/>
      <name val="Calibri"/>
      <family val="2"/>
      <scheme val="minor"/>
    </font>
    <font>
      <sz val="11"/>
      <name val="Calibri"/>
      <family val="2"/>
      <scheme val="minor"/>
    </font>
    <font>
      <b/>
      <sz val="11"/>
      <name val="Calibri"/>
      <family val="2"/>
      <scheme val="minor"/>
    </font>
    <font>
      <sz val="9"/>
      <name val="Roboto"/>
    </font>
    <font>
      <sz val="12"/>
      <color rgb="FF000000"/>
      <name val="Aptos Narrow"/>
      <family val="2"/>
    </font>
    <font>
      <sz val="11"/>
      <color rgb="FF000000"/>
      <name val="Calibri"/>
      <family val="2"/>
    </font>
    <font>
      <sz val="11"/>
      <color rgb="FF000000"/>
      <name val="Aptos Narrow"/>
      <family val="2"/>
    </font>
    <font>
      <b/>
      <sz val="12"/>
      <color theme="1"/>
      <name val="Calibri"/>
      <family val="2"/>
      <scheme val="minor"/>
    </font>
    <font>
      <sz val="10"/>
      <color theme="1"/>
      <name val="Arial Unicode MS"/>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top style="thin">
        <color auto="1"/>
      </top>
      <bottom style="thin">
        <color auto="1"/>
      </bottom>
      <diagonal/>
    </border>
  </borders>
  <cellStyleXfs count="2">
    <xf numFmtId="0" fontId="0" fillId="0" borderId="0"/>
    <xf numFmtId="43" fontId="6" fillId="0" borderId="0" applyFont="0" applyFill="0" applyBorder="0" applyAlignment="0" applyProtection="0"/>
  </cellStyleXfs>
  <cellXfs count="50">
    <xf numFmtId="0" fontId="0" fillId="0" borderId="0" xfId="0"/>
    <xf numFmtId="0" fontId="1" fillId="0" borderId="1" xfId="0" applyFont="1" applyBorder="1" applyAlignment="1">
      <alignment horizontal="center" vertical="top"/>
    </xf>
    <xf numFmtId="0" fontId="3" fillId="0" borderId="0" xfId="0" applyFont="1"/>
    <xf numFmtId="0" fontId="4" fillId="0" borderId="0" xfId="0" applyFont="1" applyAlignment="1">
      <alignment wrapText="1"/>
    </xf>
    <xf numFmtId="0" fontId="5" fillId="0" borderId="0" xfId="0" applyFont="1" applyAlignment="1">
      <alignment wrapText="1"/>
    </xf>
    <xf numFmtId="0" fontId="2" fillId="0" borderId="0" xfId="0" applyFont="1" applyAlignment="1">
      <alignment horizontal="center"/>
    </xf>
    <xf numFmtId="0" fontId="7" fillId="0" borderId="0" xfId="0" applyFont="1" applyAlignment="1">
      <alignment horizontal="center"/>
    </xf>
    <xf numFmtId="0" fontId="8" fillId="0" borderId="1" xfId="0" applyFont="1" applyBorder="1" applyAlignment="1">
      <alignment horizontal="center" vertical="top"/>
    </xf>
    <xf numFmtId="0" fontId="8" fillId="0" borderId="2" xfId="0" applyFont="1" applyBorder="1" applyAlignment="1">
      <alignment horizontal="center" vertical="top"/>
    </xf>
    <xf numFmtId="0" fontId="8" fillId="0" borderId="3" xfId="0" applyFont="1" applyBorder="1" applyAlignment="1">
      <alignment horizontal="center" vertical="top"/>
    </xf>
    <xf numFmtId="0" fontId="9" fillId="0" borderId="0" xfId="0" applyFont="1" applyAlignment="1">
      <alignment horizontal="center"/>
    </xf>
    <xf numFmtId="2" fontId="7" fillId="0" borderId="0" xfId="0" applyNumberFormat="1" applyFont="1" applyAlignment="1">
      <alignment horizontal="center"/>
    </xf>
    <xf numFmtId="11" fontId="7" fillId="0" borderId="0" xfId="0" applyNumberFormat="1" applyFont="1" applyAlignment="1">
      <alignment horizontal="center"/>
    </xf>
    <xf numFmtId="0" fontId="0" fillId="0" borderId="1" xfId="0" applyBorder="1"/>
    <xf numFmtId="0" fontId="10" fillId="0" borderId="1" xfId="0" applyFont="1" applyBorder="1"/>
    <xf numFmtId="2" fontId="2" fillId="0" borderId="1" xfId="0" applyNumberFormat="1" applyFont="1" applyBorder="1" applyAlignment="1">
      <alignment horizontal="center"/>
    </xf>
    <xf numFmtId="0" fontId="11" fillId="0" borderId="1" xfId="0" applyFont="1" applyBorder="1"/>
    <xf numFmtId="11" fontId="0" fillId="0" borderId="1" xfId="0" applyNumberFormat="1" applyBorder="1"/>
    <xf numFmtId="11" fontId="2" fillId="0" borderId="1" xfId="0" applyNumberFormat="1" applyFont="1" applyBorder="1"/>
    <xf numFmtId="0" fontId="2" fillId="0" borderId="0" xfId="0" applyFont="1" applyAlignment="1">
      <alignment horizontal="center" vertical="center"/>
    </xf>
    <xf numFmtId="0" fontId="13" fillId="0" borderId="1" xfId="0" applyFont="1" applyBorder="1"/>
    <xf numFmtId="0" fontId="11" fillId="0" borderId="0" xfId="0" applyFont="1" applyAlignment="1">
      <alignment horizontal="center" vertical="center" wrapText="1"/>
    </xf>
    <xf numFmtId="0" fontId="11" fillId="0" borderId="0" xfId="0" applyFont="1" applyAlignment="1">
      <alignment horizontal="center" wrapText="1"/>
    </xf>
    <xf numFmtId="0" fontId="11" fillId="0" borderId="0" xfId="0" applyFont="1" applyAlignment="1">
      <alignment horizontal="center" vertical="center"/>
    </xf>
    <xf numFmtId="0" fontId="11" fillId="0" borderId="0" xfId="0" applyFont="1" applyAlignment="1">
      <alignment horizontal="center"/>
    </xf>
    <xf numFmtId="0" fontId="8" fillId="0" borderId="0" xfId="0" applyFont="1" applyAlignment="1">
      <alignment horizontal="center" vertical="top"/>
    </xf>
    <xf numFmtId="0" fontId="1" fillId="0" borderId="1" xfId="0" applyFont="1" applyBorder="1"/>
    <xf numFmtId="0" fontId="2" fillId="0" borderId="1" xfId="0" applyFont="1" applyBorder="1"/>
    <xf numFmtId="0" fontId="2" fillId="0" borderId="1" xfId="0" applyFont="1" applyBorder="1" applyAlignment="1">
      <alignment horizontal="right"/>
    </xf>
    <xf numFmtId="0" fontId="7" fillId="0" borderId="1" xfId="0" applyFont="1" applyBorder="1" applyAlignment="1">
      <alignment horizontal="center"/>
    </xf>
    <xf numFmtId="0" fontId="2" fillId="0" borderId="1" xfId="0" applyFont="1" applyBorder="1" applyAlignment="1">
      <alignment horizontal="center"/>
    </xf>
    <xf numFmtId="0" fontId="9" fillId="0" borderId="1" xfId="0" applyFont="1" applyBorder="1" applyAlignment="1">
      <alignment horizontal="center"/>
    </xf>
    <xf numFmtId="2" fontId="7" fillId="0" borderId="1" xfId="0" applyNumberFormat="1" applyFont="1" applyBorder="1" applyAlignment="1">
      <alignment horizontal="center"/>
    </xf>
    <xf numFmtId="11" fontId="7" fillId="0" borderId="1" xfId="0" applyNumberFormat="1" applyFont="1" applyBorder="1" applyAlignment="1">
      <alignment horizontal="center"/>
    </xf>
    <xf numFmtId="0" fontId="14" fillId="0" borderId="0" xfId="0" applyFont="1"/>
    <xf numFmtId="0" fontId="12" fillId="0" borderId="1" xfId="0" applyFont="1" applyBorder="1" applyAlignment="1">
      <alignment horizontal="center" vertical="center"/>
    </xf>
    <xf numFmtId="11" fontId="12" fillId="0" borderId="1" xfId="0" applyNumberFormat="1" applyFont="1" applyBorder="1" applyAlignment="1">
      <alignment horizontal="center" vertical="center"/>
    </xf>
    <xf numFmtId="0" fontId="2" fillId="0" borderId="1" xfId="0" applyFont="1" applyBorder="1" applyAlignment="1">
      <alignment horizontal="center" vertical="center"/>
    </xf>
    <xf numFmtId="164" fontId="14" fillId="0" borderId="0" xfId="0" applyNumberFormat="1" applyFont="1"/>
    <xf numFmtId="164" fontId="0" fillId="0" borderId="0" xfId="0" applyNumberFormat="1"/>
    <xf numFmtId="0" fontId="0" fillId="0" borderId="0" xfId="0" applyAlignment="1">
      <alignment horizontal="center"/>
    </xf>
    <xf numFmtId="0" fontId="10" fillId="0" borderId="4" xfId="0" applyFont="1" applyBorder="1"/>
    <xf numFmtId="11" fontId="12" fillId="0" borderId="4" xfId="0" applyNumberFormat="1" applyFont="1" applyBorder="1" applyAlignment="1">
      <alignment horizontal="center" vertical="center"/>
    </xf>
    <xf numFmtId="0" fontId="2" fillId="0" borderId="2" xfId="0" applyFont="1" applyBorder="1" applyAlignment="1">
      <alignment horizontal="center"/>
    </xf>
    <xf numFmtId="11" fontId="0" fillId="0" borderId="0" xfId="0" applyNumberFormat="1"/>
    <xf numFmtId="0" fontId="2" fillId="0" borderId="0" xfId="0" applyFont="1"/>
    <xf numFmtId="0" fontId="0" fillId="0" borderId="0" xfId="0" applyBorder="1"/>
    <xf numFmtId="2" fontId="11" fillId="0" borderId="0" xfId="1" applyNumberFormat="1" applyFont="1" applyBorder="1" applyAlignment="1">
      <alignment horizontal="center"/>
    </xf>
    <xf numFmtId="11" fontId="11" fillId="0" borderId="0" xfId="1" applyNumberFormat="1" applyFont="1" applyBorder="1" applyAlignment="1">
      <alignment horizontal="center"/>
    </xf>
    <xf numFmtId="11" fontId="0" fillId="0" borderId="0" xfId="1" applyNumberFormat="1" applyFont="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2241</xdr:colOff>
      <xdr:row>0</xdr:row>
      <xdr:rowOff>0</xdr:rowOff>
    </xdr:from>
    <xdr:to>
      <xdr:col>19</xdr:col>
      <xdr:colOff>443653</xdr:colOff>
      <xdr:row>26</xdr:row>
      <xdr:rowOff>107545</xdr:rowOff>
    </xdr:to>
    <xdr:pic>
      <xdr:nvPicPr>
        <xdr:cNvPr id="2" name="Picture 1">
          <a:extLst>
            <a:ext uri="{FF2B5EF4-FFF2-40B4-BE49-F238E27FC236}">
              <a16:creationId xmlns:a16="http://schemas.microsoft.com/office/drawing/2014/main" id="{0F731EA8-129C-3143-946B-EB73BDDB99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22081" y="0"/>
          <a:ext cx="5379172" cy="5146905"/>
        </a:xfrm>
        <a:prstGeom prst="rect">
          <a:avLst/>
        </a:prstGeom>
      </xdr:spPr>
    </xdr:pic>
    <xdr:clientData/>
  </xdr:twoCellAnchor>
  <xdr:twoCellAnchor editAs="oneCell">
    <xdr:from>
      <xdr:col>19</xdr:col>
      <xdr:colOff>581054</xdr:colOff>
      <xdr:row>21</xdr:row>
      <xdr:rowOff>84359</xdr:rowOff>
    </xdr:from>
    <xdr:to>
      <xdr:col>26</xdr:col>
      <xdr:colOff>717974</xdr:colOff>
      <xdr:row>25</xdr:row>
      <xdr:rowOff>41890</xdr:rowOff>
    </xdr:to>
    <xdr:pic>
      <xdr:nvPicPr>
        <xdr:cNvPr id="3" name="Picture 2">
          <a:extLst>
            <a:ext uri="{FF2B5EF4-FFF2-40B4-BE49-F238E27FC236}">
              <a16:creationId xmlns:a16="http://schemas.microsoft.com/office/drawing/2014/main" id="{EB9B925D-52E5-6548-94B0-FEBF061B4A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38654" y="4361719"/>
          <a:ext cx="5897640" cy="729691"/>
        </a:xfrm>
        <a:prstGeom prst="rect">
          <a:avLst/>
        </a:prstGeom>
      </xdr:spPr>
    </xdr:pic>
    <xdr:clientData/>
  </xdr:twoCellAnchor>
  <xdr:twoCellAnchor editAs="oneCell">
    <xdr:from>
      <xdr:col>12</xdr:col>
      <xdr:colOff>812800</xdr:colOff>
      <xdr:row>25</xdr:row>
      <xdr:rowOff>186266</xdr:rowOff>
    </xdr:from>
    <xdr:to>
      <xdr:col>19</xdr:col>
      <xdr:colOff>575732</xdr:colOff>
      <xdr:row>55</xdr:row>
      <xdr:rowOff>29577</xdr:rowOff>
    </xdr:to>
    <xdr:pic>
      <xdr:nvPicPr>
        <xdr:cNvPr id="4" name="Picture 3">
          <a:extLst>
            <a:ext uri="{FF2B5EF4-FFF2-40B4-BE49-F238E27FC236}">
              <a16:creationId xmlns:a16="http://schemas.microsoft.com/office/drawing/2014/main" id="{4229B651-041C-4C44-8749-95010BC2B14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17300" y="5469466"/>
          <a:ext cx="5541432" cy="530431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35B5A-4C99-4FFF-A009-4B0244077301}">
  <dimension ref="A1:AA13"/>
  <sheetViews>
    <sheetView zoomScale="125" zoomScaleNormal="160" workbookViewId="0">
      <selection activeCell="D17" sqref="D17"/>
    </sheetView>
    <sheetView workbookViewId="1"/>
  </sheetViews>
  <sheetFormatPr baseColWidth="10" defaultColWidth="8.6640625" defaultRowHeight="15" x14ac:dyDescent="0.2"/>
  <cols>
    <col min="1" max="1" width="11" style="6" bestFit="1" customWidth="1"/>
    <col min="2" max="2" width="8.33203125" style="6" bestFit="1" customWidth="1"/>
    <col min="3" max="3" width="10.33203125" style="6" bestFit="1" customWidth="1"/>
    <col min="4" max="4" width="8" style="6" bestFit="1" customWidth="1"/>
    <col min="5" max="5" width="9" style="6" bestFit="1" customWidth="1"/>
    <col min="6" max="6" width="8.33203125" style="6" bestFit="1" customWidth="1"/>
    <col min="7" max="8" width="11" style="6" bestFit="1" customWidth="1"/>
    <col min="9" max="9" width="8.33203125" style="6" bestFit="1" customWidth="1"/>
    <col min="10" max="10" width="9" style="6" bestFit="1" customWidth="1"/>
    <col min="11" max="11" width="7" style="6" bestFit="1" customWidth="1"/>
    <col min="12" max="12" width="8.33203125" style="6" bestFit="1" customWidth="1"/>
    <col min="13" max="13" width="9.1640625" style="6" bestFit="1" customWidth="1"/>
    <col min="14" max="14" width="8.33203125" style="6" bestFit="1" customWidth="1"/>
    <col min="15" max="15" width="8.1640625" style="6" bestFit="1" customWidth="1"/>
    <col min="16" max="16" width="7" style="6" bestFit="1" customWidth="1"/>
    <col min="17" max="17" width="8.33203125" style="6" bestFit="1" customWidth="1"/>
    <col min="18" max="18" width="8" style="6" bestFit="1" customWidth="1"/>
    <col min="19" max="19" width="9.5" style="6" bestFit="1" customWidth="1"/>
    <col min="20" max="20" width="9.5" style="6" customWidth="1"/>
    <col min="21" max="23" width="7" style="6" bestFit="1" customWidth="1"/>
    <col min="24" max="16384" width="8.6640625" style="6"/>
  </cols>
  <sheetData>
    <row r="1" spans="1:27" x14ac:dyDescent="0.2">
      <c r="A1" s="29" t="s">
        <v>34</v>
      </c>
      <c r="B1" s="7" t="s">
        <v>57</v>
      </c>
      <c r="C1" s="7" t="s">
        <v>58</v>
      </c>
      <c r="D1" s="7" t="s">
        <v>42</v>
      </c>
      <c r="E1" s="7" t="s">
        <v>51</v>
      </c>
      <c r="F1" s="7" t="s">
        <v>48</v>
      </c>
      <c r="G1" s="7" t="s">
        <v>45</v>
      </c>
      <c r="H1" s="7" t="s">
        <v>44</v>
      </c>
      <c r="I1" s="7" t="s">
        <v>52</v>
      </c>
      <c r="J1" s="7" t="s">
        <v>49</v>
      </c>
      <c r="K1" s="7" t="s">
        <v>47</v>
      </c>
      <c r="L1" s="7" t="s">
        <v>59</v>
      </c>
      <c r="M1" s="7" t="s">
        <v>60</v>
      </c>
      <c r="N1" s="7" t="s">
        <v>61</v>
      </c>
      <c r="O1" s="7" t="s">
        <v>62</v>
      </c>
      <c r="P1" s="7" t="s">
        <v>46</v>
      </c>
      <c r="Q1" s="7" t="s">
        <v>53</v>
      </c>
      <c r="R1" s="7" t="s">
        <v>43</v>
      </c>
      <c r="S1" s="7" t="s">
        <v>63</v>
      </c>
      <c r="T1" s="7" t="s">
        <v>54</v>
      </c>
      <c r="U1" s="7" t="s">
        <v>55</v>
      </c>
      <c r="V1" s="7" t="s">
        <v>56</v>
      </c>
      <c r="W1" s="7" t="s">
        <v>64</v>
      </c>
      <c r="X1" s="7" t="s">
        <v>65</v>
      </c>
      <c r="Y1" s="7" t="s">
        <v>66</v>
      </c>
      <c r="Z1" s="29" t="s">
        <v>50</v>
      </c>
    </row>
    <row r="2" spans="1:27" x14ac:dyDescent="0.2">
      <c r="A2" s="29" t="s">
        <v>0</v>
      </c>
      <c r="B2" s="29">
        <v>330.05</v>
      </c>
      <c r="C2" s="29">
        <v>464.13</v>
      </c>
      <c r="D2" s="29">
        <v>214.03899999999999</v>
      </c>
      <c r="E2" s="29">
        <v>300.10000000000002</v>
      </c>
      <c r="F2" s="29">
        <v>514.08600000000001</v>
      </c>
      <c r="G2" s="29">
        <v>364.06200000000001</v>
      </c>
      <c r="H2" s="29">
        <v>314.05399999999997</v>
      </c>
      <c r="I2" s="29">
        <v>400.11</v>
      </c>
      <c r="J2" s="29">
        <v>180.03</v>
      </c>
      <c r="K2" s="29">
        <v>464.08</v>
      </c>
      <c r="L2" s="29">
        <v>550.13</v>
      </c>
      <c r="M2" s="29">
        <v>246.03700000000001</v>
      </c>
      <c r="N2" s="29">
        <v>312.04399999999998</v>
      </c>
      <c r="O2" s="29">
        <v>378.05099999999999</v>
      </c>
      <c r="P2" s="29">
        <v>414.07</v>
      </c>
      <c r="Q2" s="29">
        <v>500.13</v>
      </c>
      <c r="R2" s="29">
        <v>264.04700000000003</v>
      </c>
      <c r="S2" s="29">
        <v>230.03800000000001</v>
      </c>
      <c r="T2" s="30">
        <v>327.14</v>
      </c>
      <c r="U2" s="29">
        <v>428.16</v>
      </c>
      <c r="V2" s="29">
        <v>528.16999999999996</v>
      </c>
      <c r="W2" s="29">
        <v>450.12</v>
      </c>
      <c r="X2" s="31">
        <v>250.09</v>
      </c>
      <c r="Y2" s="29">
        <v>350.1</v>
      </c>
      <c r="Z2" s="30">
        <v>230.03800000000001</v>
      </c>
    </row>
    <row r="3" spans="1:27" s="11" customFormat="1" x14ac:dyDescent="0.2">
      <c r="A3" s="32" t="s">
        <v>1</v>
      </c>
      <c r="B3" s="32">
        <f>B2/B4</f>
        <v>188.6</v>
      </c>
      <c r="C3" s="32">
        <f>C2/C4</f>
        <v>252.24456521739128</v>
      </c>
      <c r="D3" s="32">
        <f>D2/D4</f>
        <v>129.72060606060606</v>
      </c>
      <c r="E3" s="32">
        <v>162</v>
      </c>
      <c r="F3" s="32">
        <v>292</v>
      </c>
      <c r="G3" s="32">
        <f>G2/G4</f>
        <v>212.90175438596492</v>
      </c>
      <c r="H3" s="32">
        <v>182</v>
      </c>
      <c r="I3" s="32">
        <v>217</v>
      </c>
      <c r="J3" s="32">
        <f>J2/J4</f>
        <v>111.12962962962962</v>
      </c>
      <c r="K3" s="32">
        <v>265</v>
      </c>
      <c r="L3" s="32">
        <f>L2/L4</f>
        <v>295.76881720430106</v>
      </c>
      <c r="M3" s="32">
        <f>M2/M4</f>
        <v>140.59257142857143</v>
      </c>
      <c r="N3" s="32">
        <f>N2/N4</f>
        <v>174.3262569832402</v>
      </c>
      <c r="O3" s="32">
        <f>O2/O4</f>
        <v>212.388202247191</v>
      </c>
      <c r="P3" s="32">
        <v>237</v>
      </c>
      <c r="Q3" s="32">
        <v>272</v>
      </c>
      <c r="R3" s="32">
        <f t="shared" ref="R3:Y3" si="0">R2/R4</f>
        <v>158.11197604790422</v>
      </c>
      <c r="S3" s="32">
        <f t="shared" si="0"/>
        <v>139.41696969696972</v>
      </c>
      <c r="T3" s="30">
        <v>195</v>
      </c>
      <c r="U3" s="32">
        <f t="shared" si="0"/>
        <v>254.85714285714289</v>
      </c>
      <c r="V3" s="32">
        <f t="shared" si="0"/>
        <v>308.87134502923976</v>
      </c>
      <c r="W3" s="32">
        <f t="shared" si="0"/>
        <v>242</v>
      </c>
      <c r="X3" s="32">
        <f t="shared" si="0"/>
        <v>137.41208791208791</v>
      </c>
      <c r="Y3" s="32">
        <f t="shared" si="0"/>
        <v>191.31147540983608</v>
      </c>
      <c r="Z3" s="30">
        <v>134</v>
      </c>
    </row>
    <row r="4" spans="1:27" x14ac:dyDescent="0.2">
      <c r="A4" s="29" t="s">
        <v>3</v>
      </c>
      <c r="B4" s="29">
        <v>1.75</v>
      </c>
      <c r="C4" s="29">
        <v>1.84</v>
      </c>
      <c r="D4" s="29">
        <v>1.65</v>
      </c>
      <c r="E4" s="29">
        <v>1.83</v>
      </c>
      <c r="F4" s="29">
        <v>1.79</v>
      </c>
      <c r="G4" s="29">
        <v>1.71</v>
      </c>
      <c r="H4" s="29">
        <v>1.69</v>
      </c>
      <c r="I4" s="29">
        <v>1.84</v>
      </c>
      <c r="J4" s="29">
        <v>1.62</v>
      </c>
      <c r="K4" s="29">
        <v>1.78</v>
      </c>
      <c r="L4" s="29">
        <v>1.86</v>
      </c>
      <c r="M4" s="29">
        <v>1.75</v>
      </c>
      <c r="N4" s="29">
        <v>1.79</v>
      </c>
      <c r="O4" s="29">
        <v>1.78</v>
      </c>
      <c r="P4" s="29">
        <v>1.8</v>
      </c>
      <c r="Q4" s="29">
        <v>1.84</v>
      </c>
      <c r="R4" s="29">
        <v>1.67</v>
      </c>
      <c r="S4" s="29">
        <v>1.65</v>
      </c>
      <c r="T4" s="29">
        <v>1.65</v>
      </c>
      <c r="U4" s="29">
        <v>1.68</v>
      </c>
      <c r="V4" s="29">
        <v>1.71</v>
      </c>
      <c r="W4" s="29">
        <v>1.86</v>
      </c>
      <c r="X4" s="29">
        <v>1.82</v>
      </c>
      <c r="Y4" s="29">
        <v>1.83</v>
      </c>
      <c r="Z4" s="29">
        <v>1.5</v>
      </c>
    </row>
    <row r="5" spans="1:27" s="12" customFormat="1" x14ac:dyDescent="0.2">
      <c r="A5" s="33" t="s">
        <v>4</v>
      </c>
      <c r="B5" s="33">
        <v>5.5199999999999999E-2</v>
      </c>
      <c r="C5" s="33"/>
      <c r="D5" s="33"/>
      <c r="E5" s="33">
        <v>2292.7640000000001</v>
      </c>
      <c r="F5" s="33"/>
      <c r="G5" s="33">
        <v>162.37165200000001</v>
      </c>
      <c r="H5" s="33">
        <v>200.05239799999995</v>
      </c>
      <c r="I5" s="33">
        <v>0</v>
      </c>
      <c r="J5" s="33"/>
      <c r="K5" s="33"/>
      <c r="L5" s="33"/>
      <c r="M5" s="33"/>
      <c r="N5" s="33"/>
      <c r="O5" s="33"/>
      <c r="P5" s="33"/>
      <c r="Q5" s="33">
        <v>0</v>
      </c>
      <c r="R5" s="33"/>
      <c r="S5" s="33"/>
      <c r="T5" s="33"/>
      <c r="U5" s="33"/>
      <c r="V5" s="33"/>
      <c r="W5" s="33"/>
      <c r="X5" s="33"/>
      <c r="Y5" s="33"/>
      <c r="Z5" s="33"/>
    </row>
    <row r="6" spans="1:27" x14ac:dyDescent="0.2">
      <c r="A6" s="29" t="s">
        <v>5</v>
      </c>
      <c r="B6" s="29"/>
      <c r="C6" s="29"/>
      <c r="D6" s="29">
        <v>6.37</v>
      </c>
      <c r="E6" s="33">
        <v>0.23799999999999999</v>
      </c>
      <c r="F6" s="33">
        <v>3.1099999999999999E-2</v>
      </c>
      <c r="G6" s="29">
        <v>0.13300000000000001</v>
      </c>
      <c r="H6" s="29">
        <v>1.45</v>
      </c>
      <c r="I6" s="33">
        <v>9.9500000000000005E-3</v>
      </c>
      <c r="J6" s="29">
        <v>8.4600000000000009</v>
      </c>
      <c r="K6" s="29">
        <v>0.17100000000000001</v>
      </c>
      <c r="L6" s="33">
        <v>5.6499999999999996E-3</v>
      </c>
      <c r="M6" s="29"/>
      <c r="N6" s="29"/>
      <c r="O6" s="29"/>
      <c r="P6" s="29">
        <v>0.52500000000000002</v>
      </c>
      <c r="Q6" s="33">
        <v>7.7999999999999996E-3</v>
      </c>
      <c r="R6" s="29">
        <v>3.54</v>
      </c>
      <c r="S6" s="29"/>
      <c r="T6" s="29"/>
      <c r="U6" s="29"/>
      <c r="V6" s="29"/>
      <c r="W6" s="29"/>
      <c r="X6" s="29"/>
      <c r="Y6" s="29"/>
      <c r="Z6" s="29"/>
    </row>
    <row r="7" spans="1:27" x14ac:dyDescent="0.2">
      <c r="A7" s="29" t="s">
        <v>2</v>
      </c>
      <c r="B7" s="29">
        <v>173</v>
      </c>
      <c r="C7" s="29"/>
      <c r="D7" s="29">
        <v>121</v>
      </c>
      <c r="E7" s="29">
        <v>211</v>
      </c>
      <c r="F7" s="29">
        <v>184</v>
      </c>
      <c r="G7" s="29">
        <v>175</v>
      </c>
      <c r="H7" s="29">
        <v>157</v>
      </c>
      <c r="I7" s="29">
        <v>239</v>
      </c>
      <c r="J7" s="29">
        <v>110</v>
      </c>
      <c r="K7" s="29">
        <v>218</v>
      </c>
      <c r="L7" s="29">
        <v>245</v>
      </c>
      <c r="M7" s="29"/>
      <c r="N7" s="29"/>
      <c r="O7" s="29"/>
      <c r="P7" s="29">
        <v>189</v>
      </c>
      <c r="Q7" s="29">
        <v>145</v>
      </c>
      <c r="R7" s="29">
        <v>138</v>
      </c>
      <c r="S7" s="29"/>
      <c r="T7" s="29"/>
      <c r="U7" s="29"/>
      <c r="V7" s="29"/>
      <c r="W7" s="29"/>
      <c r="X7" s="29"/>
      <c r="Y7" s="29"/>
      <c r="Z7" s="29"/>
    </row>
    <row r="13" spans="1:27" x14ac:dyDescent="0.2">
      <c r="Y13" s="19"/>
      <c r="AA13"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97697-1B90-46DD-B82E-FCE20BA48421}">
  <dimension ref="A1:AJ19"/>
  <sheetViews>
    <sheetView tabSelected="1" topLeftCell="AG1" zoomScale="122" zoomScaleNormal="122" workbookViewId="0">
      <selection activeCell="AJ10" sqref="AJ10"/>
    </sheetView>
    <sheetView topLeftCell="I1" workbookViewId="1">
      <selection activeCell="AI16" sqref="AI16"/>
    </sheetView>
  </sheetViews>
  <sheetFormatPr baseColWidth="10" defaultColWidth="8.83203125" defaultRowHeight="15" x14ac:dyDescent="0.2"/>
  <cols>
    <col min="1" max="1" width="8.83203125" customWidth="1"/>
  </cols>
  <sheetData>
    <row r="1" spans="1:36" x14ac:dyDescent="0.2">
      <c r="A1" s="6" t="s">
        <v>34</v>
      </c>
      <c r="B1" s="7" t="s">
        <v>57</v>
      </c>
      <c r="C1" s="7" t="s">
        <v>58</v>
      </c>
      <c r="D1" s="7" t="s">
        <v>42</v>
      </c>
      <c r="E1" s="7" t="s">
        <v>51</v>
      </c>
      <c r="F1" s="7" t="s">
        <v>48</v>
      </c>
      <c r="G1" s="7" t="s">
        <v>45</v>
      </c>
      <c r="H1" s="7" t="s">
        <v>44</v>
      </c>
      <c r="I1" s="7" t="s">
        <v>52</v>
      </c>
      <c r="J1" s="7" t="s">
        <v>49</v>
      </c>
      <c r="K1" s="7" t="s">
        <v>47</v>
      </c>
      <c r="L1" s="7" t="s">
        <v>59</v>
      </c>
      <c r="M1" s="7" t="s">
        <v>60</v>
      </c>
      <c r="N1" s="7" t="s">
        <v>61</v>
      </c>
      <c r="O1" s="7" t="s">
        <v>62</v>
      </c>
      <c r="P1" s="7" t="s">
        <v>46</v>
      </c>
      <c r="Q1" s="7" t="s">
        <v>53</v>
      </c>
      <c r="R1" s="7" t="s">
        <v>43</v>
      </c>
      <c r="S1" s="8" t="s">
        <v>63</v>
      </c>
      <c r="T1" s="9" t="s">
        <v>54</v>
      </c>
      <c r="U1" s="9" t="s">
        <v>55</v>
      </c>
      <c r="V1" s="9" t="s">
        <v>56</v>
      </c>
      <c r="W1" s="9" t="s">
        <v>64</v>
      </c>
      <c r="X1" s="9" t="s">
        <v>65</v>
      </c>
      <c r="Y1" s="9" t="s">
        <v>66</v>
      </c>
      <c r="Z1" s="9" t="s">
        <v>50</v>
      </c>
    </row>
    <row r="2" spans="1:36" ht="16" x14ac:dyDescent="0.25">
      <c r="A2" s="1" t="s">
        <v>6</v>
      </c>
      <c r="B2" s="34">
        <v>244.59795399999999</v>
      </c>
      <c r="C2">
        <v>1</v>
      </c>
      <c r="D2">
        <v>44.865836100000003</v>
      </c>
      <c r="E2">
        <v>1</v>
      </c>
      <c r="F2">
        <v>1</v>
      </c>
      <c r="G2" s="34">
        <v>335.95763699999998</v>
      </c>
      <c r="H2" s="34">
        <v>235.65525700000001</v>
      </c>
      <c r="I2">
        <v>1</v>
      </c>
      <c r="J2" s="34">
        <v>45.350354000000003</v>
      </c>
      <c r="K2">
        <v>1</v>
      </c>
      <c r="L2">
        <v>1</v>
      </c>
      <c r="M2">
        <v>1</v>
      </c>
      <c r="N2">
        <v>1</v>
      </c>
      <c r="O2">
        <v>1</v>
      </c>
      <c r="P2">
        <v>1</v>
      </c>
      <c r="Q2">
        <v>1</v>
      </c>
      <c r="R2" s="34">
        <v>140.881473</v>
      </c>
      <c r="S2">
        <v>1</v>
      </c>
      <c r="T2">
        <v>126.387</v>
      </c>
      <c r="U2">
        <v>330.71499999999997</v>
      </c>
      <c r="V2">
        <v>1</v>
      </c>
      <c r="W2">
        <v>1</v>
      </c>
      <c r="X2">
        <v>1</v>
      </c>
      <c r="Y2">
        <v>1</v>
      </c>
      <c r="Z2">
        <v>86.108869999999996</v>
      </c>
    </row>
    <row r="3" spans="1:36" x14ac:dyDescent="0.2">
      <c r="A3" s="1" t="s">
        <v>7</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row>
    <row r="4" spans="1:36" x14ac:dyDescent="0.2">
      <c r="A4" s="1" t="s">
        <v>8</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row>
    <row r="5" spans="1:36" x14ac:dyDescent="0.2">
      <c r="A5" s="1" t="s">
        <v>9</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row>
    <row r="6" spans="1:36" x14ac:dyDescent="0.2">
      <c r="A6" s="1" t="s">
        <v>10</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row>
    <row r="9" spans="1:36" ht="16" x14ac:dyDescent="0.25">
      <c r="AJ9" s="38" t="s">
        <v>101</v>
      </c>
    </row>
    <row r="10" spans="1:36" x14ac:dyDescent="0.2">
      <c r="AJ10" s="39"/>
    </row>
    <row r="11" spans="1:36" ht="16" x14ac:dyDescent="0.25">
      <c r="AJ11" s="38" t="s">
        <v>102</v>
      </c>
    </row>
    <row r="12" spans="1:36" ht="16" x14ac:dyDescent="0.25">
      <c r="AJ12" s="38" t="s">
        <v>103</v>
      </c>
    </row>
    <row r="13" spans="1:36" ht="16" x14ac:dyDescent="0.25">
      <c r="AJ13" s="38" t="s">
        <v>104</v>
      </c>
    </row>
    <row r="14" spans="1:36" ht="16" x14ac:dyDescent="0.25">
      <c r="AJ14" s="38" t="s">
        <v>105</v>
      </c>
    </row>
    <row r="15" spans="1:36" ht="16" x14ac:dyDescent="0.25">
      <c r="AJ15" s="38" t="s">
        <v>106</v>
      </c>
    </row>
    <row r="16" spans="1:36" ht="16" x14ac:dyDescent="0.25">
      <c r="AJ16" s="38" t="s">
        <v>107</v>
      </c>
    </row>
    <row r="17" spans="36:36" ht="16" x14ac:dyDescent="0.25">
      <c r="AJ17" s="38" t="s">
        <v>108</v>
      </c>
    </row>
    <row r="18" spans="36:36" ht="16" x14ac:dyDescent="0.25">
      <c r="AJ18" s="38" t="s">
        <v>109</v>
      </c>
    </row>
    <row r="19" spans="36:36" ht="16" x14ac:dyDescent="0.25">
      <c r="AJ19" s="38"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3F7DD-731C-403E-ACEA-F853111BA809}">
  <dimension ref="A1:C16"/>
  <sheetViews>
    <sheetView zoomScale="150" zoomScaleNormal="150" workbookViewId="0">
      <selection activeCell="B20" sqref="B20"/>
    </sheetView>
    <sheetView workbookViewId="1">
      <selection sqref="A1:XFD1048576"/>
    </sheetView>
  </sheetViews>
  <sheetFormatPr baseColWidth="10" defaultColWidth="8.83203125" defaultRowHeight="15" x14ac:dyDescent="0.2"/>
  <cols>
    <col min="1" max="1" width="15.83203125" bestFit="1" customWidth="1"/>
  </cols>
  <sheetData>
    <row r="1" spans="1:3" x14ac:dyDescent="0.2">
      <c r="A1" s="26" t="s">
        <v>11</v>
      </c>
      <c r="B1" s="26" t="s">
        <v>12</v>
      </c>
      <c r="C1" s="26" t="s">
        <v>13</v>
      </c>
    </row>
    <row r="2" spans="1:3" x14ac:dyDescent="0.2">
      <c r="A2" s="27" t="s">
        <v>14</v>
      </c>
      <c r="B2" s="28" t="s">
        <v>67</v>
      </c>
      <c r="C2" s="13"/>
    </row>
    <row r="3" spans="1:3" x14ac:dyDescent="0.2">
      <c r="A3" s="27" t="s">
        <v>15</v>
      </c>
      <c r="B3" s="44">
        <f>0.007/2</f>
        <v>3.5000000000000001E-3</v>
      </c>
      <c r="C3" s="13" t="s">
        <v>16</v>
      </c>
    </row>
    <row r="4" spans="1:3" ht="16" x14ac:dyDescent="0.2">
      <c r="A4" s="27" t="s">
        <v>17</v>
      </c>
      <c r="B4" s="14">
        <v>0.38100000000000001</v>
      </c>
      <c r="C4" s="13"/>
    </row>
    <row r="5" spans="1:3" x14ac:dyDescent="0.2">
      <c r="A5" s="27" t="s">
        <v>18</v>
      </c>
      <c r="B5" s="27">
        <v>1</v>
      </c>
      <c r="C5" s="13"/>
    </row>
    <row r="6" spans="1:3" x14ac:dyDescent="0.2">
      <c r="A6" s="27" t="s">
        <v>19</v>
      </c>
      <c r="B6" s="27">
        <v>1.05</v>
      </c>
      <c r="C6" s="13" t="s">
        <v>20</v>
      </c>
    </row>
    <row r="7" spans="1:3" x14ac:dyDescent="0.2">
      <c r="A7" s="27" t="s">
        <v>30</v>
      </c>
      <c r="B7" s="16">
        <v>0.64995000000000003</v>
      </c>
      <c r="C7" s="13" t="s">
        <v>20</v>
      </c>
    </row>
    <row r="8" spans="1:3" x14ac:dyDescent="0.2">
      <c r="A8" s="27" t="s">
        <v>21</v>
      </c>
      <c r="B8" s="27">
        <v>1.5</v>
      </c>
      <c r="C8" s="13" t="s">
        <v>16</v>
      </c>
    </row>
    <row r="9" spans="1:3" x14ac:dyDescent="0.2">
      <c r="A9" s="27" t="s">
        <v>22</v>
      </c>
      <c r="B9" s="13">
        <f>45.7/1000</f>
        <v>4.5700000000000005E-2</v>
      </c>
      <c r="C9" s="13" t="s">
        <v>68</v>
      </c>
    </row>
    <row r="10" spans="1:3" x14ac:dyDescent="0.2">
      <c r="A10" s="27" t="s">
        <v>23</v>
      </c>
      <c r="B10" s="13">
        <f>0.09633334*60</f>
        <v>5.7800004000000005</v>
      </c>
      <c r="C10" s="13" t="s">
        <v>69</v>
      </c>
    </row>
    <row r="11" spans="1:3" x14ac:dyDescent="0.2">
      <c r="A11" s="27" t="s">
        <v>24</v>
      </c>
      <c r="B11" s="27">
        <v>0.318</v>
      </c>
      <c r="C11" s="13" t="s">
        <v>16</v>
      </c>
    </row>
    <row r="12" spans="1:3" x14ac:dyDescent="0.2">
      <c r="A12" s="27" t="s">
        <v>25</v>
      </c>
      <c r="B12" s="27">
        <v>1</v>
      </c>
      <c r="C12" s="13"/>
    </row>
    <row r="13" spans="1:3" x14ac:dyDescent="0.2">
      <c r="A13" s="27" t="s">
        <v>26</v>
      </c>
      <c r="B13" s="27" t="s">
        <v>27</v>
      </c>
      <c r="C13" s="13"/>
    </row>
    <row r="14" spans="1:3" x14ac:dyDescent="0.2">
      <c r="A14" s="27" t="s">
        <v>28</v>
      </c>
      <c r="B14" s="27" t="s">
        <v>29</v>
      </c>
      <c r="C14" s="13"/>
    </row>
    <row r="15" spans="1:3" x14ac:dyDescent="0.2">
      <c r="A15" s="27" t="s">
        <v>13</v>
      </c>
      <c r="B15" s="13" t="s">
        <v>111</v>
      </c>
      <c r="C15" s="13"/>
    </row>
    <row r="16" spans="1:3" x14ac:dyDescent="0.2">
      <c r="A16" s="27" t="s">
        <v>31</v>
      </c>
      <c r="B16" s="27" t="s">
        <v>70</v>
      </c>
      <c r="C16"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BCFB4-DB77-4CE9-BB3A-E676947AF423}">
  <dimension ref="A1:D438"/>
  <sheetViews>
    <sheetView topLeftCell="A206" zoomScale="173" workbookViewId="0">
      <selection activeCell="B29" sqref="B29"/>
    </sheetView>
    <sheetView tabSelected="1" workbookViewId="1">
      <selection activeCell="C14" sqref="C14:C15"/>
    </sheetView>
  </sheetViews>
  <sheetFormatPr baseColWidth="10" defaultColWidth="8.83203125" defaultRowHeight="15" x14ac:dyDescent="0.2"/>
  <cols>
    <col min="1" max="1" width="7.1640625" bestFit="1" customWidth="1"/>
    <col min="2" max="2" width="9.6640625" bestFit="1" customWidth="1"/>
    <col min="3" max="3" width="12" bestFit="1" customWidth="1"/>
    <col min="4" max="4" width="9.5" bestFit="1" customWidth="1"/>
  </cols>
  <sheetData>
    <row r="1" spans="1:4" x14ac:dyDescent="0.2">
      <c r="A1" s="13" t="s">
        <v>32</v>
      </c>
      <c r="B1" s="13" t="s">
        <v>31</v>
      </c>
      <c r="C1" s="13" t="s">
        <v>33</v>
      </c>
      <c r="D1" s="13" t="s">
        <v>34</v>
      </c>
    </row>
    <row r="2" spans="1:4" x14ac:dyDescent="0.2">
      <c r="A2" s="13" t="s">
        <v>27</v>
      </c>
      <c r="B2" s="15">
        <v>0</v>
      </c>
      <c r="C2" s="45">
        <v>3.4556000000000002E-4</v>
      </c>
      <c r="D2" s="16" t="s">
        <v>43</v>
      </c>
    </row>
    <row r="3" spans="1:4" x14ac:dyDescent="0.2">
      <c r="A3" s="13" t="s">
        <v>27</v>
      </c>
      <c r="B3" s="27">
        <v>41.666666669999998</v>
      </c>
      <c r="C3" s="45">
        <v>3.4556000000000002E-4</v>
      </c>
      <c r="D3" s="16" t="s">
        <v>43</v>
      </c>
    </row>
    <row r="4" spans="1:4" x14ac:dyDescent="0.2">
      <c r="A4" s="13" t="s">
        <v>27</v>
      </c>
      <c r="B4" s="15">
        <v>0</v>
      </c>
      <c r="C4" s="45">
        <v>3.901E-4</v>
      </c>
      <c r="D4" s="16" t="s">
        <v>44</v>
      </c>
    </row>
    <row r="5" spans="1:4" x14ac:dyDescent="0.2">
      <c r="A5" s="13" t="s">
        <v>27</v>
      </c>
      <c r="B5" s="27">
        <v>41.666666669999998</v>
      </c>
      <c r="C5" s="45">
        <v>3.901E-4</v>
      </c>
      <c r="D5" s="16" t="s">
        <v>44</v>
      </c>
    </row>
    <row r="6" spans="1:4" x14ac:dyDescent="0.2">
      <c r="A6" s="13" t="s">
        <v>27</v>
      </c>
      <c r="B6" s="15">
        <v>0</v>
      </c>
      <c r="C6" s="45">
        <v>3.6148000000000002E-4</v>
      </c>
      <c r="D6" s="16" t="s">
        <v>57</v>
      </c>
    </row>
    <row r="7" spans="1:4" x14ac:dyDescent="0.2">
      <c r="A7" s="13" t="s">
        <v>27</v>
      </c>
      <c r="B7" s="27">
        <v>41.666666669999998</v>
      </c>
      <c r="C7" s="45">
        <v>3.6148000000000002E-4</v>
      </c>
      <c r="D7" s="16" t="s">
        <v>57</v>
      </c>
    </row>
    <row r="8" spans="1:4" x14ac:dyDescent="0.2">
      <c r="A8" s="13" t="s">
        <v>27</v>
      </c>
      <c r="B8" s="15">
        <v>0</v>
      </c>
      <c r="C8" s="45">
        <v>3.7243999999999998E-4</v>
      </c>
      <c r="D8" s="16" t="s">
        <v>42</v>
      </c>
    </row>
    <row r="9" spans="1:4" x14ac:dyDescent="0.2">
      <c r="A9" s="13" t="s">
        <v>27</v>
      </c>
      <c r="B9" s="27">
        <v>41.666666669999998</v>
      </c>
      <c r="C9" s="45">
        <v>3.7243999999999998E-4</v>
      </c>
      <c r="D9" s="16" t="s">
        <v>42</v>
      </c>
    </row>
    <row r="10" spans="1:4" x14ac:dyDescent="0.2">
      <c r="A10" s="13" t="s">
        <v>27</v>
      </c>
      <c r="B10" s="15">
        <v>0</v>
      </c>
      <c r="C10" s="45">
        <v>2.9971000000000002E-4</v>
      </c>
      <c r="D10" s="16" t="s">
        <v>49</v>
      </c>
    </row>
    <row r="11" spans="1:4" x14ac:dyDescent="0.2">
      <c r="A11" s="13" t="s">
        <v>27</v>
      </c>
      <c r="B11" s="27">
        <v>41.666666669999998</v>
      </c>
      <c r="C11" s="45">
        <v>2.9971000000000002E-4</v>
      </c>
      <c r="D11" s="16" t="s">
        <v>49</v>
      </c>
    </row>
    <row r="12" spans="1:4" x14ac:dyDescent="0.2">
      <c r="A12" s="13" t="s">
        <v>27</v>
      </c>
      <c r="B12" s="15">
        <v>0</v>
      </c>
      <c r="C12" s="45">
        <v>1.9429000000000001E-4</v>
      </c>
      <c r="D12" s="16" t="s">
        <v>50</v>
      </c>
    </row>
    <row r="13" spans="1:4" x14ac:dyDescent="0.2">
      <c r="A13" s="13" t="s">
        <v>27</v>
      </c>
      <c r="B13" s="27">
        <v>41.666666669999998</v>
      </c>
      <c r="C13" s="45">
        <v>1.9429000000000001E-4</v>
      </c>
      <c r="D13" s="16" t="s">
        <v>50</v>
      </c>
    </row>
    <row r="14" spans="1:4" x14ac:dyDescent="0.2">
      <c r="A14" s="13" t="s">
        <v>27</v>
      </c>
      <c r="B14" s="15">
        <v>0</v>
      </c>
      <c r="C14" s="45">
        <v>2.9990000000000003E-4</v>
      </c>
      <c r="D14" s="16" t="s">
        <v>54</v>
      </c>
    </row>
    <row r="15" spans="1:4" x14ac:dyDescent="0.2">
      <c r="A15" s="13" t="s">
        <v>27</v>
      </c>
      <c r="B15" s="27">
        <v>41.666666669999998</v>
      </c>
      <c r="C15" s="45">
        <v>2.9990000000000003E-4</v>
      </c>
      <c r="D15" s="16" t="s">
        <v>54</v>
      </c>
    </row>
    <row r="16" spans="1:4" x14ac:dyDescent="0.2">
      <c r="A16" s="13" t="s">
        <v>29</v>
      </c>
      <c r="B16" s="27">
        <v>0</v>
      </c>
      <c r="C16" s="18">
        <v>4.7733800000000002E-6</v>
      </c>
      <c r="D16" s="27" t="s">
        <v>43</v>
      </c>
    </row>
    <row r="17" spans="1:4" x14ac:dyDescent="0.2">
      <c r="A17" s="13" t="s">
        <v>29</v>
      </c>
      <c r="B17" s="27">
        <v>41.666666669999998</v>
      </c>
      <c r="C17" s="18">
        <v>3.5902299999999999E-6</v>
      </c>
      <c r="D17" s="27" t="s">
        <v>43</v>
      </c>
    </row>
    <row r="18" spans="1:4" x14ac:dyDescent="0.2">
      <c r="A18" s="13" t="s">
        <v>29</v>
      </c>
      <c r="B18" s="27">
        <v>83.333333330000002</v>
      </c>
      <c r="C18" s="18">
        <v>4.0900099999999997E-6</v>
      </c>
      <c r="D18" s="27" t="s">
        <v>43</v>
      </c>
    </row>
    <row r="19" spans="1:4" x14ac:dyDescent="0.2">
      <c r="A19" s="13" t="s">
        <v>29</v>
      </c>
      <c r="B19" s="27">
        <v>83.333333330000002</v>
      </c>
      <c r="C19" s="18">
        <v>4.86517E-6</v>
      </c>
      <c r="D19" s="27" t="s">
        <v>43</v>
      </c>
    </row>
    <row r="20" spans="1:4" x14ac:dyDescent="0.2">
      <c r="A20" s="13" t="s">
        <v>29</v>
      </c>
      <c r="B20" s="27">
        <v>125</v>
      </c>
      <c r="C20" s="18">
        <v>6.3645099999999996E-6</v>
      </c>
      <c r="D20" s="27" t="s">
        <v>43</v>
      </c>
    </row>
    <row r="21" spans="1:4" x14ac:dyDescent="0.2">
      <c r="A21" s="13" t="s">
        <v>29</v>
      </c>
      <c r="B21" s="27">
        <v>125</v>
      </c>
      <c r="C21" s="18">
        <v>5.6913400000000003E-6</v>
      </c>
      <c r="D21" s="27" t="s">
        <v>43</v>
      </c>
    </row>
    <row r="22" spans="1:4" x14ac:dyDescent="0.2">
      <c r="A22" s="13" t="s">
        <v>29</v>
      </c>
      <c r="B22" s="27">
        <v>166.66666670000001</v>
      </c>
      <c r="C22" s="18">
        <v>8.6696000000000008E-6</v>
      </c>
      <c r="D22" s="27" t="s">
        <v>43</v>
      </c>
    </row>
    <row r="23" spans="1:4" x14ac:dyDescent="0.2">
      <c r="A23" s="13" t="s">
        <v>29</v>
      </c>
      <c r="B23" s="27">
        <v>166.66666670000001</v>
      </c>
      <c r="C23" s="18">
        <v>5.8341300000000002E-6</v>
      </c>
      <c r="D23" s="27" t="s">
        <v>43</v>
      </c>
    </row>
    <row r="24" spans="1:4" x14ac:dyDescent="0.2">
      <c r="A24" s="13" t="s">
        <v>29</v>
      </c>
      <c r="B24" s="27">
        <v>250</v>
      </c>
      <c r="C24" s="18">
        <v>1.1862099999999999E-5</v>
      </c>
      <c r="D24" s="27" t="s">
        <v>43</v>
      </c>
    </row>
    <row r="25" spans="1:4" x14ac:dyDescent="0.2">
      <c r="A25" s="13" t="s">
        <v>29</v>
      </c>
      <c r="B25" s="27">
        <v>250</v>
      </c>
      <c r="C25" s="18">
        <v>1.2116999999999999E-5</v>
      </c>
      <c r="D25" s="27" t="s">
        <v>43</v>
      </c>
    </row>
    <row r="26" spans="1:4" x14ac:dyDescent="0.2">
      <c r="A26" s="13" t="s">
        <v>29</v>
      </c>
      <c r="B26" s="27">
        <v>333.33333329999999</v>
      </c>
      <c r="C26" s="18">
        <v>1.8379499999999999E-5</v>
      </c>
      <c r="D26" s="27" t="s">
        <v>43</v>
      </c>
    </row>
    <row r="27" spans="1:4" x14ac:dyDescent="0.2">
      <c r="A27" s="13" t="s">
        <v>29</v>
      </c>
      <c r="B27" s="27">
        <v>333.33333329999999</v>
      </c>
      <c r="C27" s="18">
        <v>2.2826499999999999E-5</v>
      </c>
      <c r="D27" s="27" t="s">
        <v>43</v>
      </c>
    </row>
    <row r="28" spans="1:4" x14ac:dyDescent="0.2">
      <c r="A28" s="13" t="s">
        <v>29</v>
      </c>
      <c r="B28" s="27">
        <v>416.66666670000001</v>
      </c>
      <c r="C28" s="18">
        <v>3.89724E-5</v>
      </c>
      <c r="D28" s="27" t="s">
        <v>43</v>
      </c>
    </row>
    <row r="29" spans="1:4" x14ac:dyDescent="0.2">
      <c r="A29" s="13" t="s">
        <v>29</v>
      </c>
      <c r="B29" s="27">
        <v>416.66666670000001</v>
      </c>
      <c r="C29" s="18">
        <v>3.5463799999999997E-5</v>
      </c>
      <c r="D29" s="27" t="s">
        <v>43</v>
      </c>
    </row>
    <row r="30" spans="1:4" x14ac:dyDescent="0.2">
      <c r="A30" s="13" t="s">
        <v>29</v>
      </c>
      <c r="B30" s="27">
        <v>500</v>
      </c>
      <c r="C30" s="18">
        <v>5.3557699999999997E-5</v>
      </c>
      <c r="D30" s="27" t="s">
        <v>43</v>
      </c>
    </row>
    <row r="31" spans="1:4" x14ac:dyDescent="0.2">
      <c r="A31" s="13" t="s">
        <v>29</v>
      </c>
      <c r="B31" s="27">
        <v>500</v>
      </c>
      <c r="C31" s="18">
        <v>5.9014500000000002E-5</v>
      </c>
      <c r="D31" s="27" t="s">
        <v>43</v>
      </c>
    </row>
    <row r="32" spans="1:4" x14ac:dyDescent="0.2">
      <c r="A32" s="13" t="s">
        <v>29</v>
      </c>
      <c r="B32" s="27">
        <v>583.33333330000005</v>
      </c>
      <c r="C32" s="18">
        <v>7.53337E-5</v>
      </c>
      <c r="D32" s="27" t="s">
        <v>43</v>
      </c>
    </row>
    <row r="33" spans="1:4" x14ac:dyDescent="0.2">
      <c r="A33" s="13" t="s">
        <v>29</v>
      </c>
      <c r="B33" s="27">
        <v>583.33333330000005</v>
      </c>
      <c r="C33" s="18">
        <v>7.4650300000000006E-5</v>
      </c>
      <c r="D33" s="27" t="s">
        <v>43</v>
      </c>
    </row>
    <row r="34" spans="1:4" x14ac:dyDescent="0.2">
      <c r="A34" s="13" t="s">
        <v>29</v>
      </c>
      <c r="B34" s="27">
        <v>666.66666669999995</v>
      </c>
      <c r="C34" s="18">
        <v>9.8833399999999995E-5</v>
      </c>
      <c r="D34" s="27" t="s">
        <v>43</v>
      </c>
    </row>
    <row r="35" spans="1:4" x14ac:dyDescent="0.2">
      <c r="A35" s="13" t="s">
        <v>29</v>
      </c>
      <c r="B35" s="27">
        <v>666.66666669999995</v>
      </c>
      <c r="C35" s="27">
        <v>1.00374E-4</v>
      </c>
      <c r="D35" s="27" t="s">
        <v>43</v>
      </c>
    </row>
    <row r="36" spans="1:4" x14ac:dyDescent="0.2">
      <c r="A36" s="13" t="s">
        <v>29</v>
      </c>
      <c r="B36" s="27">
        <v>833.33333330000005</v>
      </c>
      <c r="C36" s="27">
        <v>1.4166100000000001E-4</v>
      </c>
      <c r="D36" s="27" t="s">
        <v>43</v>
      </c>
    </row>
    <row r="37" spans="1:4" x14ac:dyDescent="0.2">
      <c r="A37" s="13" t="s">
        <v>29</v>
      </c>
      <c r="B37" s="27">
        <v>833.33333330000005</v>
      </c>
      <c r="C37" s="27">
        <v>1.67119E-4</v>
      </c>
      <c r="D37" s="27" t="s">
        <v>43</v>
      </c>
    </row>
    <row r="38" spans="1:4" x14ac:dyDescent="0.2">
      <c r="A38" s="13" t="s">
        <v>29</v>
      </c>
      <c r="B38" s="27">
        <v>1000</v>
      </c>
      <c r="C38" s="27">
        <v>1.9907400000000001E-4</v>
      </c>
      <c r="D38" s="27" t="s">
        <v>43</v>
      </c>
    </row>
    <row r="39" spans="1:4" x14ac:dyDescent="0.2">
      <c r="A39" s="13" t="s">
        <v>29</v>
      </c>
      <c r="B39" s="27">
        <v>1000</v>
      </c>
      <c r="C39" s="27">
        <v>2.1578100000000001E-4</v>
      </c>
      <c r="D39" s="27" t="s">
        <v>43</v>
      </c>
    </row>
    <row r="40" spans="1:4" x14ac:dyDescent="0.2">
      <c r="A40" s="13" t="s">
        <v>29</v>
      </c>
      <c r="B40" s="27">
        <v>1166.666667</v>
      </c>
      <c r="C40" s="27">
        <v>2.63076E-4</v>
      </c>
      <c r="D40" s="27" t="s">
        <v>43</v>
      </c>
    </row>
    <row r="41" spans="1:4" x14ac:dyDescent="0.2">
      <c r="A41" s="13" t="s">
        <v>29</v>
      </c>
      <c r="B41" s="27">
        <v>1166.666667</v>
      </c>
      <c r="C41" s="27">
        <v>2.8967700000000001E-4</v>
      </c>
      <c r="D41" s="27" t="s">
        <v>43</v>
      </c>
    </row>
    <row r="42" spans="1:4" x14ac:dyDescent="0.2">
      <c r="A42" s="13" t="s">
        <v>29</v>
      </c>
      <c r="B42" s="27">
        <v>1333.333333</v>
      </c>
      <c r="C42" s="27">
        <v>2.6822700000000001E-4</v>
      </c>
      <c r="D42" s="27" t="s">
        <v>43</v>
      </c>
    </row>
    <row r="43" spans="1:4" x14ac:dyDescent="0.2">
      <c r="A43" s="13" t="s">
        <v>29</v>
      </c>
      <c r="B43" s="27">
        <v>1333.333333</v>
      </c>
      <c r="C43" s="27">
        <v>3.17134E-4</v>
      </c>
      <c r="D43" s="27" t="s">
        <v>43</v>
      </c>
    </row>
    <row r="44" spans="1:4" x14ac:dyDescent="0.2">
      <c r="A44" s="13" t="s">
        <v>29</v>
      </c>
      <c r="B44" s="27">
        <v>1500</v>
      </c>
      <c r="C44" s="27">
        <v>3.1400299999999998E-4</v>
      </c>
      <c r="D44" s="27" t="s">
        <v>43</v>
      </c>
    </row>
    <row r="45" spans="1:4" x14ac:dyDescent="0.2">
      <c r="A45" s="13" t="s">
        <v>29</v>
      </c>
      <c r="B45" s="27">
        <v>1500</v>
      </c>
      <c r="C45" s="27">
        <v>3.4958899999999998E-4</v>
      </c>
      <c r="D45" s="27" t="s">
        <v>43</v>
      </c>
    </row>
    <row r="46" spans="1:4" x14ac:dyDescent="0.2">
      <c r="A46" s="13" t="s">
        <v>29</v>
      </c>
      <c r="B46" s="27">
        <v>1666.666667</v>
      </c>
      <c r="C46" s="27">
        <v>3.2642599999999999E-4</v>
      </c>
      <c r="D46" s="27" t="s">
        <v>43</v>
      </c>
    </row>
    <row r="47" spans="1:4" x14ac:dyDescent="0.2">
      <c r="A47" s="13" t="s">
        <v>29</v>
      </c>
      <c r="B47" s="27">
        <v>1666.666667</v>
      </c>
      <c r="C47" s="27">
        <v>3.3476900000000001E-4</v>
      </c>
      <c r="D47" s="27" t="s">
        <v>43</v>
      </c>
    </row>
    <row r="48" spans="1:4" x14ac:dyDescent="0.2">
      <c r="A48" s="13" t="s">
        <v>29</v>
      </c>
      <c r="B48" s="27">
        <v>1833.333333</v>
      </c>
      <c r="C48" s="27">
        <v>3.5364800000000003E-4</v>
      </c>
      <c r="D48" s="27" t="s">
        <v>43</v>
      </c>
    </row>
    <row r="49" spans="1:4" x14ac:dyDescent="0.2">
      <c r="A49" s="13" t="s">
        <v>29</v>
      </c>
      <c r="B49" s="27">
        <v>1833.333333</v>
      </c>
      <c r="C49" s="27">
        <v>3.4215299999999999E-4</v>
      </c>
      <c r="D49" s="27" t="s">
        <v>43</v>
      </c>
    </row>
    <row r="50" spans="1:4" x14ac:dyDescent="0.2">
      <c r="A50" s="13" t="s">
        <v>29</v>
      </c>
      <c r="B50" s="27">
        <v>2000</v>
      </c>
      <c r="C50" s="27">
        <v>3.6245E-4</v>
      </c>
      <c r="D50" s="27" t="s">
        <v>43</v>
      </c>
    </row>
    <row r="51" spans="1:4" x14ac:dyDescent="0.2">
      <c r="A51" s="13" t="s">
        <v>29</v>
      </c>
      <c r="B51" s="27">
        <v>2000</v>
      </c>
      <c r="C51" s="27">
        <v>3.4407099999999999E-4</v>
      </c>
      <c r="D51" s="27" t="s">
        <v>43</v>
      </c>
    </row>
    <row r="52" spans="1:4" x14ac:dyDescent="0.2">
      <c r="A52" s="13" t="s">
        <v>29</v>
      </c>
      <c r="B52" s="27">
        <v>2166.666667</v>
      </c>
      <c r="C52" s="27">
        <v>3.45101E-4</v>
      </c>
      <c r="D52" s="27" t="s">
        <v>43</v>
      </c>
    </row>
    <row r="53" spans="1:4" x14ac:dyDescent="0.2">
      <c r="A53" s="13" t="s">
        <v>29</v>
      </c>
      <c r="B53" s="27">
        <v>2166.666667</v>
      </c>
      <c r="C53" s="27">
        <v>3.6827399999999998E-4</v>
      </c>
      <c r="D53" s="27" t="s">
        <v>43</v>
      </c>
    </row>
    <row r="54" spans="1:4" x14ac:dyDescent="0.2">
      <c r="A54" s="13" t="s">
        <v>29</v>
      </c>
      <c r="B54" s="27">
        <v>2500</v>
      </c>
      <c r="C54" s="27">
        <v>3.4896699999999999E-4</v>
      </c>
      <c r="D54" s="27" t="s">
        <v>43</v>
      </c>
    </row>
    <row r="55" spans="1:4" x14ac:dyDescent="0.2">
      <c r="A55" s="13" t="s">
        <v>29</v>
      </c>
      <c r="B55" s="27">
        <v>2500</v>
      </c>
      <c r="C55" s="27">
        <v>3.5942100000000001E-4</v>
      </c>
      <c r="D55" s="27" t="s">
        <v>43</v>
      </c>
    </row>
    <row r="56" spans="1:4" x14ac:dyDescent="0.2">
      <c r="A56" s="13" t="s">
        <v>29</v>
      </c>
      <c r="B56" s="27">
        <v>2833.333333</v>
      </c>
      <c r="C56" s="27">
        <v>3.5185300000000001E-4</v>
      </c>
      <c r="D56" s="27" t="s">
        <v>43</v>
      </c>
    </row>
    <row r="57" spans="1:4" x14ac:dyDescent="0.2">
      <c r="A57" s="13" t="s">
        <v>29</v>
      </c>
      <c r="B57" s="27">
        <v>2833.333333</v>
      </c>
      <c r="C57" s="27">
        <v>3.4879300000000002E-4</v>
      </c>
      <c r="D57" s="27" t="s">
        <v>43</v>
      </c>
    </row>
    <row r="58" spans="1:4" x14ac:dyDescent="0.2">
      <c r="A58" s="13" t="s">
        <v>29</v>
      </c>
      <c r="B58" s="27">
        <v>3166.666667</v>
      </c>
      <c r="C58" s="27">
        <v>3.54617E-4</v>
      </c>
      <c r="D58" s="27" t="s">
        <v>43</v>
      </c>
    </row>
    <row r="59" spans="1:4" x14ac:dyDescent="0.2">
      <c r="A59" s="13" t="s">
        <v>29</v>
      </c>
      <c r="B59" s="27">
        <v>3166.666667</v>
      </c>
      <c r="C59" s="27">
        <v>3.4340800000000002E-4</v>
      </c>
      <c r="D59" s="27" t="s">
        <v>43</v>
      </c>
    </row>
    <row r="60" spans="1:4" x14ac:dyDescent="0.2">
      <c r="A60" s="13" t="s">
        <v>29</v>
      </c>
      <c r="B60" s="27">
        <v>3500</v>
      </c>
      <c r="C60" s="27">
        <v>3.64409E-4</v>
      </c>
      <c r="D60" s="27" t="s">
        <v>43</v>
      </c>
    </row>
    <row r="61" spans="1:4" x14ac:dyDescent="0.2">
      <c r="A61" s="13" t="s">
        <v>29</v>
      </c>
      <c r="B61" s="27">
        <v>3500</v>
      </c>
      <c r="C61" s="27">
        <v>3.4345900000000001E-4</v>
      </c>
      <c r="D61" s="27" t="s">
        <v>43</v>
      </c>
    </row>
    <row r="62" spans="1:4" x14ac:dyDescent="0.2">
      <c r="A62" s="13" t="s">
        <v>29</v>
      </c>
      <c r="B62" s="27">
        <v>3833.333333</v>
      </c>
      <c r="C62" s="27">
        <v>3.4672300000000001E-4</v>
      </c>
      <c r="D62" s="27" t="s">
        <v>43</v>
      </c>
    </row>
    <row r="63" spans="1:4" x14ac:dyDescent="0.2">
      <c r="A63" s="13" t="s">
        <v>29</v>
      </c>
      <c r="B63" s="27">
        <v>3833.333333</v>
      </c>
      <c r="C63" s="27">
        <v>3.5402600000000002E-4</v>
      </c>
      <c r="D63" s="27" t="s">
        <v>43</v>
      </c>
    </row>
    <row r="64" spans="1:4" x14ac:dyDescent="0.2">
      <c r="A64" s="13" t="s">
        <v>29</v>
      </c>
      <c r="B64" s="27">
        <v>4166.6666670000004</v>
      </c>
      <c r="C64" s="27">
        <v>1.6323299999999999E-4</v>
      </c>
      <c r="D64" s="27" t="s">
        <v>43</v>
      </c>
    </row>
    <row r="65" spans="1:4" x14ac:dyDescent="0.2">
      <c r="A65" s="13" t="s">
        <v>29</v>
      </c>
      <c r="B65" s="27">
        <v>4166.6666670000004</v>
      </c>
      <c r="C65" s="27">
        <v>3.3521799999999997E-4</v>
      </c>
      <c r="D65" s="27" t="s">
        <v>43</v>
      </c>
    </row>
    <row r="66" spans="1:4" x14ac:dyDescent="0.2">
      <c r="A66" s="13" t="s">
        <v>29</v>
      </c>
      <c r="B66" s="27">
        <v>0</v>
      </c>
      <c r="C66" s="18">
        <v>6.0530099999999998E-5</v>
      </c>
      <c r="D66" s="27" t="s">
        <v>44</v>
      </c>
    </row>
    <row r="67" spans="1:4" x14ac:dyDescent="0.2">
      <c r="A67" s="13" t="s">
        <v>29</v>
      </c>
      <c r="B67" s="27">
        <v>41.666666669999998</v>
      </c>
      <c r="C67" s="18">
        <v>4.5268300000000002E-5</v>
      </c>
      <c r="D67" s="27" t="s">
        <v>44</v>
      </c>
    </row>
    <row r="68" spans="1:4" x14ac:dyDescent="0.2">
      <c r="A68" s="13" t="s">
        <v>29</v>
      </c>
      <c r="B68" s="27">
        <v>83.333333330000002</v>
      </c>
      <c r="C68" s="18">
        <v>5.8173700000000002E-5</v>
      </c>
      <c r="D68" s="27" t="s">
        <v>44</v>
      </c>
    </row>
    <row r="69" spans="1:4" x14ac:dyDescent="0.2">
      <c r="A69" s="13" t="s">
        <v>29</v>
      </c>
      <c r="B69" s="27">
        <v>83.333333330000002</v>
      </c>
      <c r="C69" s="18">
        <v>4.36576E-5</v>
      </c>
      <c r="D69" s="27" t="s">
        <v>44</v>
      </c>
    </row>
    <row r="70" spans="1:4" x14ac:dyDescent="0.2">
      <c r="A70" s="13" t="s">
        <v>29</v>
      </c>
      <c r="B70" s="27">
        <v>125</v>
      </c>
      <c r="C70" s="18">
        <v>6.8344900000000004E-5</v>
      </c>
      <c r="D70" s="27" t="s">
        <v>44</v>
      </c>
    </row>
    <row r="71" spans="1:4" x14ac:dyDescent="0.2">
      <c r="A71" s="13" t="s">
        <v>29</v>
      </c>
      <c r="B71" s="27">
        <v>125</v>
      </c>
      <c r="C71" s="18">
        <v>3.5991899999999997E-5</v>
      </c>
      <c r="D71" s="27" t="s">
        <v>44</v>
      </c>
    </row>
    <row r="72" spans="1:4" x14ac:dyDescent="0.2">
      <c r="A72" s="13" t="s">
        <v>29</v>
      </c>
      <c r="B72" s="27">
        <v>166.66666670000001</v>
      </c>
      <c r="C72" s="27">
        <v>1.3674999999999999E-4</v>
      </c>
      <c r="D72" s="27" t="s">
        <v>44</v>
      </c>
    </row>
    <row r="73" spans="1:4" x14ac:dyDescent="0.2">
      <c r="A73" s="13" t="s">
        <v>29</v>
      </c>
      <c r="B73" s="27">
        <v>166.66666670000001</v>
      </c>
      <c r="C73" s="18">
        <v>3.8537200000000001E-5</v>
      </c>
      <c r="D73" s="27" t="s">
        <v>44</v>
      </c>
    </row>
    <row r="74" spans="1:4" x14ac:dyDescent="0.2">
      <c r="A74" s="13" t="s">
        <v>29</v>
      </c>
      <c r="B74" s="27">
        <v>250</v>
      </c>
      <c r="C74" s="18">
        <v>5.5379900000000001E-5</v>
      </c>
      <c r="D74" s="27" t="s">
        <v>44</v>
      </c>
    </row>
    <row r="75" spans="1:4" x14ac:dyDescent="0.2">
      <c r="A75" s="13" t="s">
        <v>29</v>
      </c>
      <c r="B75" s="27">
        <v>250</v>
      </c>
      <c r="C75" s="18">
        <v>4.60339E-5</v>
      </c>
      <c r="D75" s="27" t="s">
        <v>44</v>
      </c>
    </row>
    <row r="76" spans="1:4" x14ac:dyDescent="0.2">
      <c r="A76" s="13" t="s">
        <v>29</v>
      </c>
      <c r="B76" s="27">
        <v>333.33333329999999</v>
      </c>
      <c r="C76" s="18">
        <v>3.9153699999999998E-5</v>
      </c>
      <c r="D76" s="27" t="s">
        <v>44</v>
      </c>
    </row>
    <row r="77" spans="1:4" x14ac:dyDescent="0.2">
      <c r="A77" s="13" t="s">
        <v>29</v>
      </c>
      <c r="B77" s="27">
        <v>333.33333329999999</v>
      </c>
      <c r="C77" s="18">
        <v>4.6530999999999999E-5</v>
      </c>
      <c r="D77" s="27" t="s">
        <v>44</v>
      </c>
    </row>
    <row r="78" spans="1:4" x14ac:dyDescent="0.2">
      <c r="A78" s="13" t="s">
        <v>29</v>
      </c>
      <c r="B78" s="27">
        <v>416.66666670000001</v>
      </c>
      <c r="C78" s="18">
        <v>8.0305799999999999E-5</v>
      </c>
      <c r="D78" s="27" t="s">
        <v>44</v>
      </c>
    </row>
    <row r="79" spans="1:4" x14ac:dyDescent="0.2">
      <c r="A79" s="13" t="s">
        <v>29</v>
      </c>
      <c r="B79" s="27">
        <v>416.66666670000001</v>
      </c>
      <c r="C79" s="18">
        <v>4.5656099999999998E-5</v>
      </c>
      <c r="D79" s="27" t="s">
        <v>44</v>
      </c>
    </row>
    <row r="80" spans="1:4" x14ac:dyDescent="0.2">
      <c r="A80" s="13" t="s">
        <v>29</v>
      </c>
      <c r="B80" s="27">
        <v>500</v>
      </c>
      <c r="C80" s="18">
        <v>5.5717899999999997E-5</v>
      </c>
      <c r="D80" s="27" t="s">
        <v>44</v>
      </c>
    </row>
    <row r="81" spans="1:4" x14ac:dyDescent="0.2">
      <c r="A81" s="13" t="s">
        <v>29</v>
      </c>
      <c r="B81" s="27">
        <v>500</v>
      </c>
      <c r="C81" s="18">
        <v>5.4574499999999997E-5</v>
      </c>
      <c r="D81" s="27" t="s">
        <v>44</v>
      </c>
    </row>
    <row r="82" spans="1:4" x14ac:dyDescent="0.2">
      <c r="A82" s="13" t="s">
        <v>29</v>
      </c>
      <c r="B82" s="27">
        <v>583.33333330000005</v>
      </c>
      <c r="C82" s="18">
        <v>6.1385199999999996E-5</v>
      </c>
      <c r="D82" s="27" t="s">
        <v>44</v>
      </c>
    </row>
    <row r="83" spans="1:4" x14ac:dyDescent="0.2">
      <c r="A83" s="13" t="s">
        <v>29</v>
      </c>
      <c r="B83" s="27">
        <v>583.33333330000005</v>
      </c>
      <c r="C83" s="18">
        <v>4.8648800000000001E-5</v>
      </c>
      <c r="D83" s="27" t="s">
        <v>44</v>
      </c>
    </row>
    <row r="84" spans="1:4" x14ac:dyDescent="0.2">
      <c r="A84" s="13" t="s">
        <v>29</v>
      </c>
      <c r="B84" s="27">
        <v>666.66666669999995</v>
      </c>
      <c r="C84" s="18">
        <v>7.19839E-5</v>
      </c>
      <c r="D84" s="27" t="s">
        <v>44</v>
      </c>
    </row>
    <row r="85" spans="1:4" x14ac:dyDescent="0.2">
      <c r="A85" s="13" t="s">
        <v>29</v>
      </c>
      <c r="B85" s="27">
        <v>666.66666669999995</v>
      </c>
      <c r="C85" s="18">
        <v>4.07743E-5</v>
      </c>
      <c r="D85" s="27" t="s">
        <v>44</v>
      </c>
    </row>
    <row r="86" spans="1:4" x14ac:dyDescent="0.2">
      <c r="A86" s="13" t="s">
        <v>29</v>
      </c>
      <c r="B86" s="27">
        <v>833.33333330000005</v>
      </c>
      <c r="C86" s="18">
        <v>5.8074300000000001E-5</v>
      </c>
      <c r="D86" s="27" t="s">
        <v>44</v>
      </c>
    </row>
    <row r="87" spans="1:4" x14ac:dyDescent="0.2">
      <c r="A87" s="13" t="s">
        <v>29</v>
      </c>
      <c r="B87" s="27">
        <v>833.33333330000005</v>
      </c>
      <c r="C87" s="18">
        <v>7.2580400000000001E-5</v>
      </c>
      <c r="D87" s="27" t="s">
        <v>44</v>
      </c>
    </row>
    <row r="88" spans="1:4" x14ac:dyDescent="0.2">
      <c r="A88" s="13" t="s">
        <v>29</v>
      </c>
      <c r="B88" s="27">
        <v>1000</v>
      </c>
      <c r="C88" s="18">
        <v>8.2025800000000003E-5</v>
      </c>
      <c r="D88" s="27" t="s">
        <v>44</v>
      </c>
    </row>
    <row r="89" spans="1:4" x14ac:dyDescent="0.2">
      <c r="A89" s="13" t="s">
        <v>29</v>
      </c>
      <c r="B89" s="27">
        <v>1000</v>
      </c>
      <c r="C89" s="18">
        <v>6.0699100000000003E-5</v>
      </c>
      <c r="D89" s="27" t="s">
        <v>44</v>
      </c>
    </row>
    <row r="90" spans="1:4" x14ac:dyDescent="0.2">
      <c r="A90" s="13" t="s">
        <v>29</v>
      </c>
      <c r="B90" s="27">
        <v>1166.666667</v>
      </c>
      <c r="C90" s="18">
        <v>7.3793400000000004E-5</v>
      </c>
      <c r="D90" s="27" t="s">
        <v>44</v>
      </c>
    </row>
    <row r="91" spans="1:4" x14ac:dyDescent="0.2">
      <c r="A91" s="13" t="s">
        <v>29</v>
      </c>
      <c r="B91" s="27">
        <v>1166.666667</v>
      </c>
      <c r="C91" s="18">
        <v>7.0959799999999998E-5</v>
      </c>
      <c r="D91" s="27" t="s">
        <v>44</v>
      </c>
    </row>
    <row r="92" spans="1:4" x14ac:dyDescent="0.2">
      <c r="A92" s="13" t="s">
        <v>29</v>
      </c>
      <c r="B92" s="27">
        <v>1333.333333</v>
      </c>
      <c r="C92" s="18">
        <v>9.9166799999999994E-5</v>
      </c>
      <c r="D92" s="27" t="s">
        <v>44</v>
      </c>
    </row>
    <row r="93" spans="1:4" x14ac:dyDescent="0.2">
      <c r="A93" s="13" t="s">
        <v>29</v>
      </c>
      <c r="B93" s="27">
        <v>1333.333333</v>
      </c>
      <c r="C93" s="18">
        <v>7.5553299999999994E-5</v>
      </c>
      <c r="D93" s="27" t="s">
        <v>44</v>
      </c>
    </row>
    <row r="94" spans="1:4" x14ac:dyDescent="0.2">
      <c r="A94" s="13" t="s">
        <v>29</v>
      </c>
      <c r="B94" s="27">
        <v>1500</v>
      </c>
      <c r="C94" s="18">
        <v>8.5376499999999998E-5</v>
      </c>
      <c r="D94" s="27" t="s">
        <v>44</v>
      </c>
    </row>
    <row r="95" spans="1:4" x14ac:dyDescent="0.2">
      <c r="A95" s="13" t="s">
        <v>29</v>
      </c>
      <c r="B95" s="27">
        <v>1500</v>
      </c>
      <c r="C95" s="18">
        <v>8.1886599999999996E-5</v>
      </c>
      <c r="D95" s="27" t="s">
        <v>44</v>
      </c>
    </row>
    <row r="96" spans="1:4" x14ac:dyDescent="0.2">
      <c r="A96" s="13" t="s">
        <v>29</v>
      </c>
      <c r="B96" s="27">
        <v>1666.666667</v>
      </c>
      <c r="C96" s="18">
        <v>9.1421499999999999E-5</v>
      </c>
      <c r="D96" s="27" t="s">
        <v>44</v>
      </c>
    </row>
    <row r="97" spans="1:4" x14ac:dyDescent="0.2">
      <c r="A97" s="13" t="s">
        <v>29</v>
      </c>
      <c r="B97" s="27">
        <v>1666.666667</v>
      </c>
      <c r="C97" s="18">
        <v>9.1749600000000007E-5</v>
      </c>
      <c r="D97" s="27" t="s">
        <v>44</v>
      </c>
    </row>
    <row r="98" spans="1:4" x14ac:dyDescent="0.2">
      <c r="A98" s="13" t="s">
        <v>29</v>
      </c>
      <c r="B98" s="27">
        <v>1833.333333</v>
      </c>
      <c r="C98" s="27">
        <v>1.20285E-4</v>
      </c>
      <c r="D98" s="27" t="s">
        <v>44</v>
      </c>
    </row>
    <row r="99" spans="1:4" x14ac:dyDescent="0.2">
      <c r="A99" s="13" t="s">
        <v>29</v>
      </c>
      <c r="B99" s="27">
        <v>1833.333333</v>
      </c>
      <c r="C99" s="27">
        <v>1.08205E-4</v>
      </c>
      <c r="D99" s="27" t="s">
        <v>44</v>
      </c>
    </row>
    <row r="100" spans="1:4" x14ac:dyDescent="0.2">
      <c r="A100" s="13" t="s">
        <v>29</v>
      </c>
      <c r="B100" s="27">
        <v>2000</v>
      </c>
      <c r="C100" s="27">
        <v>1.63535E-4</v>
      </c>
      <c r="D100" s="27" t="s">
        <v>44</v>
      </c>
    </row>
    <row r="101" spans="1:4" x14ac:dyDescent="0.2">
      <c r="A101" s="13" t="s">
        <v>29</v>
      </c>
      <c r="B101" s="27">
        <v>2000</v>
      </c>
      <c r="C101" s="27">
        <v>1.10104E-4</v>
      </c>
      <c r="D101" s="27" t="s">
        <v>44</v>
      </c>
    </row>
    <row r="102" spans="1:4" x14ac:dyDescent="0.2">
      <c r="A102" s="13" t="s">
        <v>29</v>
      </c>
      <c r="B102" s="27">
        <v>2166.666667</v>
      </c>
      <c r="C102" s="27">
        <v>1.3705799999999999E-4</v>
      </c>
      <c r="D102" s="27" t="s">
        <v>44</v>
      </c>
    </row>
    <row r="103" spans="1:4" x14ac:dyDescent="0.2">
      <c r="A103" s="13" t="s">
        <v>29</v>
      </c>
      <c r="B103" s="27">
        <v>2166.666667</v>
      </c>
      <c r="C103" s="27">
        <v>1.41373E-4</v>
      </c>
      <c r="D103" s="27" t="s">
        <v>44</v>
      </c>
    </row>
    <row r="104" spans="1:4" x14ac:dyDescent="0.2">
      <c r="A104" s="13" t="s">
        <v>29</v>
      </c>
      <c r="B104" s="27">
        <v>2500</v>
      </c>
      <c r="C104" s="27">
        <v>1.8213699999999999E-4</v>
      </c>
      <c r="D104" s="27" t="s">
        <v>44</v>
      </c>
    </row>
    <row r="105" spans="1:4" x14ac:dyDescent="0.2">
      <c r="A105" s="13" t="s">
        <v>29</v>
      </c>
      <c r="B105" s="27">
        <v>2500</v>
      </c>
      <c r="C105" s="27">
        <v>1.6381300000000001E-4</v>
      </c>
      <c r="D105" s="27" t="s">
        <v>44</v>
      </c>
    </row>
    <row r="106" spans="1:4" x14ac:dyDescent="0.2">
      <c r="A106" s="13" t="s">
        <v>29</v>
      </c>
      <c r="B106" s="27">
        <v>2833.333333</v>
      </c>
      <c r="C106" s="27">
        <v>2.0577099999999999E-4</v>
      </c>
      <c r="D106" s="27" t="s">
        <v>44</v>
      </c>
    </row>
    <row r="107" spans="1:4" x14ac:dyDescent="0.2">
      <c r="A107" s="13" t="s">
        <v>29</v>
      </c>
      <c r="B107" s="27">
        <v>2833.333333</v>
      </c>
      <c r="C107" s="27">
        <v>2.0080900000000001E-4</v>
      </c>
      <c r="D107" s="27" t="s">
        <v>44</v>
      </c>
    </row>
    <row r="108" spans="1:4" x14ac:dyDescent="0.2">
      <c r="A108" s="13" t="s">
        <v>29</v>
      </c>
      <c r="B108" s="27">
        <v>3166.666667</v>
      </c>
      <c r="C108" s="27">
        <v>2.3452400000000001E-4</v>
      </c>
      <c r="D108" s="27" t="s">
        <v>44</v>
      </c>
    </row>
    <row r="109" spans="1:4" x14ac:dyDescent="0.2">
      <c r="A109" s="13" t="s">
        <v>29</v>
      </c>
      <c r="B109" s="27">
        <v>3166.666667</v>
      </c>
      <c r="C109" s="27">
        <v>2.3726800000000001E-4</v>
      </c>
      <c r="D109" s="27" t="s">
        <v>44</v>
      </c>
    </row>
    <row r="110" spans="1:4" x14ac:dyDescent="0.2">
      <c r="A110" s="13" t="s">
        <v>29</v>
      </c>
      <c r="B110" s="27">
        <v>3500</v>
      </c>
      <c r="C110" s="27">
        <v>2.7851999999999998E-4</v>
      </c>
      <c r="D110" s="27" t="s">
        <v>44</v>
      </c>
    </row>
    <row r="111" spans="1:4" x14ac:dyDescent="0.2">
      <c r="A111" s="13" t="s">
        <v>29</v>
      </c>
      <c r="B111" s="27">
        <v>3500</v>
      </c>
      <c r="C111" s="27">
        <v>2.6092200000000002E-4</v>
      </c>
      <c r="D111" s="27" t="s">
        <v>44</v>
      </c>
    </row>
    <row r="112" spans="1:4" x14ac:dyDescent="0.2">
      <c r="A112" s="13" t="s">
        <v>29</v>
      </c>
      <c r="B112" s="27">
        <v>3833.333333</v>
      </c>
      <c r="C112" s="27">
        <v>2.7771499999999999E-4</v>
      </c>
      <c r="D112" s="27" t="s">
        <v>44</v>
      </c>
    </row>
    <row r="113" spans="1:4" x14ac:dyDescent="0.2">
      <c r="A113" s="13" t="s">
        <v>29</v>
      </c>
      <c r="B113" s="27">
        <v>3833.333333</v>
      </c>
      <c r="C113" s="27">
        <v>2.9691400000000001E-4</v>
      </c>
      <c r="D113" s="27" t="s">
        <v>44</v>
      </c>
    </row>
    <row r="114" spans="1:4" x14ac:dyDescent="0.2">
      <c r="A114" s="13" t="s">
        <v>29</v>
      </c>
      <c r="B114" s="27">
        <v>4166.6666670000004</v>
      </c>
      <c r="C114" s="27">
        <v>1.55093E-4</v>
      </c>
      <c r="D114" s="27" t="s">
        <v>44</v>
      </c>
    </row>
    <row r="115" spans="1:4" x14ac:dyDescent="0.2">
      <c r="A115" s="13" t="s">
        <v>29</v>
      </c>
      <c r="B115" s="27">
        <v>4166.6666670000004</v>
      </c>
      <c r="C115" s="27">
        <v>3.0381400000000002E-4</v>
      </c>
      <c r="D115" s="27" t="s">
        <v>44</v>
      </c>
    </row>
    <row r="116" spans="1:4" x14ac:dyDescent="0.2">
      <c r="A116" s="13" t="s">
        <v>29</v>
      </c>
      <c r="B116" s="27">
        <v>0</v>
      </c>
      <c r="C116" s="18">
        <v>2.6596399999999998E-5</v>
      </c>
      <c r="D116" s="27" t="s">
        <v>57</v>
      </c>
    </row>
    <row r="117" spans="1:4" x14ac:dyDescent="0.2">
      <c r="A117" s="13" t="s">
        <v>29</v>
      </c>
      <c r="B117" s="27">
        <v>41.666666669999998</v>
      </c>
      <c r="C117" s="18">
        <v>2.8570700000000001E-5</v>
      </c>
      <c r="D117" s="27" t="s">
        <v>57</v>
      </c>
    </row>
    <row r="118" spans="1:4" x14ac:dyDescent="0.2">
      <c r="A118" s="13" t="s">
        <v>29</v>
      </c>
      <c r="B118" s="27">
        <v>83.333333330000002</v>
      </c>
      <c r="C118" s="18">
        <v>3.8599200000000001E-5</v>
      </c>
      <c r="D118" s="27" t="s">
        <v>57</v>
      </c>
    </row>
    <row r="119" spans="1:4" x14ac:dyDescent="0.2">
      <c r="A119" s="13" t="s">
        <v>29</v>
      </c>
      <c r="B119" s="27">
        <v>83.333333330000002</v>
      </c>
      <c r="C119" s="18">
        <v>2.7588799999999999E-5</v>
      </c>
      <c r="D119" s="27" t="s">
        <v>57</v>
      </c>
    </row>
    <row r="120" spans="1:4" x14ac:dyDescent="0.2">
      <c r="A120" s="13" t="s">
        <v>29</v>
      </c>
      <c r="B120" s="27">
        <v>125</v>
      </c>
      <c r="C120" s="18">
        <v>3.8379900000000002E-5</v>
      </c>
      <c r="D120" s="27" t="s">
        <v>57</v>
      </c>
    </row>
    <row r="121" spans="1:4" x14ac:dyDescent="0.2">
      <c r="A121" s="13" t="s">
        <v>29</v>
      </c>
      <c r="B121" s="27">
        <v>125</v>
      </c>
      <c r="C121" s="18">
        <v>2.09867E-5</v>
      </c>
      <c r="D121" s="27" t="s">
        <v>57</v>
      </c>
    </row>
    <row r="122" spans="1:4" x14ac:dyDescent="0.2">
      <c r="A122" s="13" t="s">
        <v>29</v>
      </c>
      <c r="B122" s="27">
        <v>166.66666670000001</v>
      </c>
      <c r="C122" s="18">
        <v>3.07645E-5</v>
      </c>
      <c r="D122" s="27" t="s">
        <v>57</v>
      </c>
    </row>
    <row r="123" spans="1:4" x14ac:dyDescent="0.2">
      <c r="A123" s="13" t="s">
        <v>29</v>
      </c>
      <c r="B123" s="27">
        <v>166.66666670000001</v>
      </c>
      <c r="C123" s="18">
        <v>2.2219399999999999E-5</v>
      </c>
      <c r="D123" s="27" t="s">
        <v>57</v>
      </c>
    </row>
    <row r="124" spans="1:4" x14ac:dyDescent="0.2">
      <c r="A124" s="13" t="s">
        <v>29</v>
      </c>
      <c r="B124" s="27">
        <v>250</v>
      </c>
      <c r="C124" s="18">
        <v>3.9811000000000002E-5</v>
      </c>
      <c r="D124" s="27" t="s">
        <v>57</v>
      </c>
    </row>
    <row r="125" spans="1:4" x14ac:dyDescent="0.2">
      <c r="A125" s="13" t="s">
        <v>29</v>
      </c>
      <c r="B125" s="27">
        <v>250</v>
      </c>
      <c r="C125" s="18">
        <v>2.87065E-5</v>
      </c>
      <c r="D125" s="27" t="s">
        <v>57</v>
      </c>
    </row>
    <row r="126" spans="1:4" x14ac:dyDescent="0.2">
      <c r="A126" s="13" t="s">
        <v>29</v>
      </c>
      <c r="B126" s="27">
        <v>333.33333329999999</v>
      </c>
      <c r="C126" s="18">
        <v>2.3890799999999998E-5</v>
      </c>
      <c r="D126" s="27" t="s">
        <v>57</v>
      </c>
    </row>
    <row r="127" spans="1:4" x14ac:dyDescent="0.2">
      <c r="A127" s="13" t="s">
        <v>29</v>
      </c>
      <c r="B127" s="27">
        <v>333.33333329999999</v>
      </c>
      <c r="C127" s="18">
        <v>3.0315300000000001E-5</v>
      </c>
      <c r="D127" s="27" t="s">
        <v>57</v>
      </c>
    </row>
    <row r="128" spans="1:4" x14ac:dyDescent="0.2">
      <c r="A128" s="13" t="s">
        <v>29</v>
      </c>
      <c r="B128" s="27">
        <v>416.66666670000001</v>
      </c>
      <c r="C128" s="18">
        <v>5.0654300000000001E-5</v>
      </c>
      <c r="D128" s="27" t="s">
        <v>57</v>
      </c>
    </row>
    <row r="129" spans="1:4" x14ac:dyDescent="0.2">
      <c r="A129" s="13" t="s">
        <v>29</v>
      </c>
      <c r="B129" s="27">
        <v>416.66666670000001</v>
      </c>
      <c r="C129" s="18">
        <v>3.1401700000000001E-5</v>
      </c>
      <c r="D129" s="27" t="s">
        <v>57</v>
      </c>
    </row>
    <row r="130" spans="1:4" x14ac:dyDescent="0.2">
      <c r="A130" s="13" t="s">
        <v>29</v>
      </c>
      <c r="B130" s="27">
        <v>500</v>
      </c>
      <c r="C130" s="18">
        <v>3.2979099999999997E-5</v>
      </c>
      <c r="D130" s="27" t="s">
        <v>57</v>
      </c>
    </row>
    <row r="131" spans="1:4" x14ac:dyDescent="0.2">
      <c r="A131" s="13" t="s">
        <v>29</v>
      </c>
      <c r="B131" s="27">
        <v>500</v>
      </c>
      <c r="C131" s="18">
        <v>3.2216499999999999E-5</v>
      </c>
      <c r="D131" s="27" t="s">
        <v>57</v>
      </c>
    </row>
    <row r="132" spans="1:4" x14ac:dyDescent="0.2">
      <c r="A132" s="13" t="s">
        <v>29</v>
      </c>
      <c r="B132" s="27">
        <v>583.33333330000005</v>
      </c>
      <c r="C132" s="18">
        <v>3.9111099999999999E-5</v>
      </c>
      <c r="D132" s="27" t="s">
        <v>57</v>
      </c>
    </row>
    <row r="133" spans="1:4" x14ac:dyDescent="0.2">
      <c r="A133" s="13" t="s">
        <v>29</v>
      </c>
      <c r="B133" s="27">
        <v>583.33333330000005</v>
      </c>
      <c r="C133" s="18">
        <v>3.1224099999999998E-5</v>
      </c>
      <c r="D133" s="27" t="s">
        <v>57</v>
      </c>
    </row>
    <row r="134" spans="1:4" x14ac:dyDescent="0.2">
      <c r="A134" s="13" t="s">
        <v>29</v>
      </c>
      <c r="B134" s="27">
        <v>666.66666669999995</v>
      </c>
      <c r="C134" s="18">
        <v>4.5702699999999999E-5</v>
      </c>
      <c r="D134" s="27" t="s">
        <v>57</v>
      </c>
    </row>
    <row r="135" spans="1:4" x14ac:dyDescent="0.2">
      <c r="A135" s="13" t="s">
        <v>29</v>
      </c>
      <c r="B135" s="27">
        <v>666.66666669999995</v>
      </c>
      <c r="C135" s="18">
        <v>2.5698E-5</v>
      </c>
      <c r="D135" s="27" t="s">
        <v>57</v>
      </c>
    </row>
    <row r="136" spans="1:4" x14ac:dyDescent="0.2">
      <c r="A136" s="13" t="s">
        <v>29</v>
      </c>
      <c r="B136" s="27">
        <v>833.33333330000005</v>
      </c>
      <c r="C136" s="18">
        <v>3.9090200000000001E-5</v>
      </c>
      <c r="D136" s="27" t="s">
        <v>57</v>
      </c>
    </row>
    <row r="137" spans="1:4" x14ac:dyDescent="0.2">
      <c r="A137" s="13" t="s">
        <v>29</v>
      </c>
      <c r="B137" s="27">
        <v>833.33333330000005</v>
      </c>
      <c r="C137" s="18">
        <v>5.7444400000000002E-5</v>
      </c>
      <c r="D137" s="27" t="s">
        <v>57</v>
      </c>
    </row>
    <row r="138" spans="1:4" x14ac:dyDescent="0.2">
      <c r="A138" s="13" t="s">
        <v>29</v>
      </c>
      <c r="B138" s="27">
        <v>1000</v>
      </c>
      <c r="C138" s="18">
        <v>5.6452000000000001E-5</v>
      </c>
      <c r="D138" s="27" t="s">
        <v>57</v>
      </c>
    </row>
    <row r="139" spans="1:4" x14ac:dyDescent="0.2">
      <c r="A139" s="13" t="s">
        <v>29</v>
      </c>
      <c r="B139" s="27">
        <v>1000</v>
      </c>
      <c r="C139" s="18">
        <v>5.3004699999999998E-5</v>
      </c>
      <c r="D139" s="27" t="s">
        <v>57</v>
      </c>
    </row>
    <row r="140" spans="1:4" x14ac:dyDescent="0.2">
      <c r="A140" s="13" t="s">
        <v>29</v>
      </c>
      <c r="B140" s="27">
        <v>1166.666667</v>
      </c>
      <c r="C140" s="18">
        <v>5.8833799999999999E-5</v>
      </c>
      <c r="D140" s="27" t="s">
        <v>57</v>
      </c>
    </row>
    <row r="141" spans="1:4" x14ac:dyDescent="0.2">
      <c r="A141" s="13" t="s">
        <v>29</v>
      </c>
      <c r="B141" s="27">
        <v>1166.666667</v>
      </c>
      <c r="C141" s="18">
        <v>6.8998099999999999E-5</v>
      </c>
      <c r="D141" s="27" t="s">
        <v>57</v>
      </c>
    </row>
    <row r="142" spans="1:4" x14ac:dyDescent="0.2">
      <c r="A142" s="13" t="s">
        <v>29</v>
      </c>
      <c r="B142" s="27">
        <v>1333.333333</v>
      </c>
      <c r="C142" s="18">
        <v>7.2988600000000001E-5</v>
      </c>
      <c r="D142" s="27" t="s">
        <v>57</v>
      </c>
    </row>
    <row r="143" spans="1:4" x14ac:dyDescent="0.2">
      <c r="A143" s="13" t="s">
        <v>29</v>
      </c>
      <c r="B143" s="27">
        <v>1333.333333</v>
      </c>
      <c r="C143" s="18">
        <v>6.5007599999999997E-5</v>
      </c>
      <c r="D143" s="27" t="s">
        <v>57</v>
      </c>
    </row>
    <row r="144" spans="1:4" x14ac:dyDescent="0.2">
      <c r="A144" s="13" t="s">
        <v>29</v>
      </c>
      <c r="B144" s="27">
        <v>1500</v>
      </c>
      <c r="C144" s="18">
        <v>8.0666699999999998E-5</v>
      </c>
      <c r="D144" s="27" t="s">
        <v>57</v>
      </c>
    </row>
    <row r="145" spans="1:4" x14ac:dyDescent="0.2">
      <c r="A145" s="13" t="s">
        <v>29</v>
      </c>
      <c r="B145" s="27">
        <v>1500</v>
      </c>
      <c r="C145" s="18">
        <v>6.8987599999999997E-5</v>
      </c>
      <c r="D145" s="27" t="s">
        <v>57</v>
      </c>
    </row>
    <row r="146" spans="1:4" x14ac:dyDescent="0.2">
      <c r="A146" s="13" t="s">
        <v>29</v>
      </c>
      <c r="B146" s="27">
        <v>1666.666667</v>
      </c>
      <c r="C146" s="18">
        <v>7.5683699999999995E-5</v>
      </c>
      <c r="D146" s="27" t="s">
        <v>57</v>
      </c>
    </row>
    <row r="147" spans="1:4" x14ac:dyDescent="0.2">
      <c r="A147" s="13" t="s">
        <v>29</v>
      </c>
      <c r="B147" s="27">
        <v>1666.666667</v>
      </c>
      <c r="C147" s="18">
        <v>9.2251599999999996E-5</v>
      </c>
      <c r="D147" s="27" t="s">
        <v>57</v>
      </c>
    </row>
    <row r="148" spans="1:4" x14ac:dyDescent="0.2">
      <c r="A148" s="13" t="s">
        <v>29</v>
      </c>
      <c r="B148" s="27">
        <v>1833.333333</v>
      </c>
      <c r="C148" s="27">
        <v>1.07994E-4</v>
      </c>
      <c r="D148" s="27" t="s">
        <v>57</v>
      </c>
    </row>
    <row r="149" spans="1:4" x14ac:dyDescent="0.2">
      <c r="A149" s="13" t="s">
        <v>29</v>
      </c>
      <c r="B149" s="27">
        <v>1833.333333</v>
      </c>
      <c r="C149" s="27">
        <v>1.05853E-4</v>
      </c>
      <c r="D149" s="27" t="s">
        <v>57</v>
      </c>
    </row>
    <row r="150" spans="1:4" x14ac:dyDescent="0.2">
      <c r="A150" s="13" t="s">
        <v>29</v>
      </c>
      <c r="B150" s="27">
        <v>2000</v>
      </c>
      <c r="C150" s="27">
        <v>1.35165E-4</v>
      </c>
      <c r="D150" s="27" t="s">
        <v>57</v>
      </c>
    </row>
    <row r="151" spans="1:4" x14ac:dyDescent="0.2">
      <c r="A151" s="13" t="s">
        <v>29</v>
      </c>
      <c r="B151" s="27">
        <v>2000</v>
      </c>
      <c r="C151" s="27">
        <v>1.1383399999999999E-4</v>
      </c>
      <c r="D151" s="27" t="s">
        <v>57</v>
      </c>
    </row>
    <row r="152" spans="1:4" x14ac:dyDescent="0.2">
      <c r="A152" s="13" t="s">
        <v>29</v>
      </c>
      <c r="B152" s="27">
        <v>2166.666667</v>
      </c>
      <c r="C152" s="27">
        <v>1.28417E-4</v>
      </c>
      <c r="D152" s="27" t="s">
        <v>57</v>
      </c>
    </row>
    <row r="153" spans="1:4" x14ac:dyDescent="0.2">
      <c r="A153" s="13" t="s">
        <v>29</v>
      </c>
      <c r="B153" s="27">
        <v>2166.666667</v>
      </c>
      <c r="C153" s="27">
        <v>1.3227200000000001E-4</v>
      </c>
      <c r="D153" s="27" t="s">
        <v>57</v>
      </c>
    </row>
    <row r="154" spans="1:4" x14ac:dyDescent="0.2">
      <c r="A154" s="13" t="s">
        <v>29</v>
      </c>
      <c r="B154" s="27">
        <v>2500</v>
      </c>
      <c r="C154" s="27">
        <v>1.4815E-4</v>
      </c>
      <c r="D154" s="27" t="s">
        <v>57</v>
      </c>
    </row>
    <row r="155" spans="1:4" x14ac:dyDescent="0.2">
      <c r="A155" s="13" t="s">
        <v>29</v>
      </c>
      <c r="B155" s="27">
        <v>2500</v>
      </c>
      <c r="C155" s="27">
        <v>1.5429199999999999E-4</v>
      </c>
      <c r="D155" s="27" t="s">
        <v>57</v>
      </c>
    </row>
    <row r="156" spans="1:4" x14ac:dyDescent="0.2">
      <c r="A156" s="13" t="s">
        <v>29</v>
      </c>
      <c r="B156" s="27">
        <v>2833.333333</v>
      </c>
      <c r="C156" s="27">
        <v>1.85809E-4</v>
      </c>
      <c r="D156" s="27" t="s">
        <v>57</v>
      </c>
    </row>
    <row r="157" spans="1:4" x14ac:dyDescent="0.2">
      <c r="A157" s="13" t="s">
        <v>29</v>
      </c>
      <c r="B157" s="27">
        <v>2833.333333</v>
      </c>
      <c r="C157" s="27">
        <v>2.1404599999999999E-4</v>
      </c>
      <c r="D157" s="27" t="s">
        <v>57</v>
      </c>
    </row>
    <row r="158" spans="1:4" x14ac:dyDescent="0.2">
      <c r="A158" s="13" t="s">
        <v>29</v>
      </c>
      <c r="B158" s="27">
        <v>3166.666667</v>
      </c>
      <c r="C158" s="27">
        <v>2.0786099999999999E-4</v>
      </c>
      <c r="D158" s="27" t="s">
        <v>57</v>
      </c>
    </row>
    <row r="159" spans="1:4" x14ac:dyDescent="0.2">
      <c r="A159" s="13" t="s">
        <v>29</v>
      </c>
      <c r="B159" s="27">
        <v>3166.666667</v>
      </c>
      <c r="C159" s="27">
        <v>2.2178599999999999E-4</v>
      </c>
      <c r="D159" s="27" t="s">
        <v>57</v>
      </c>
    </row>
    <row r="160" spans="1:4" x14ac:dyDescent="0.2">
      <c r="A160" s="13" t="s">
        <v>29</v>
      </c>
      <c r="B160" s="27">
        <v>3500</v>
      </c>
      <c r="C160" s="27">
        <v>2.19948E-4</v>
      </c>
      <c r="D160" s="27" t="s">
        <v>57</v>
      </c>
    </row>
    <row r="161" spans="1:4" x14ac:dyDescent="0.2">
      <c r="A161" s="13" t="s">
        <v>29</v>
      </c>
      <c r="B161" s="27">
        <v>3500</v>
      </c>
      <c r="C161" s="27">
        <v>2.4358800000000001E-4</v>
      </c>
      <c r="D161" s="27" t="s">
        <v>57</v>
      </c>
    </row>
    <row r="162" spans="1:4" x14ac:dyDescent="0.2">
      <c r="A162" s="13" t="s">
        <v>29</v>
      </c>
      <c r="B162" s="27">
        <v>3833.333333</v>
      </c>
      <c r="C162" s="27">
        <v>2.58108E-4</v>
      </c>
      <c r="D162" s="27" t="s">
        <v>57</v>
      </c>
    </row>
    <row r="163" spans="1:4" x14ac:dyDescent="0.2">
      <c r="A163" s="13" t="s">
        <v>29</v>
      </c>
      <c r="B163" s="27">
        <v>3833.333333</v>
      </c>
      <c r="C163" s="27">
        <v>2.8877900000000002E-4</v>
      </c>
      <c r="D163" s="27" t="s">
        <v>57</v>
      </c>
    </row>
    <row r="164" spans="1:4" x14ac:dyDescent="0.2">
      <c r="A164" s="13" t="s">
        <v>29</v>
      </c>
      <c r="B164" s="27">
        <v>4166.6666670000004</v>
      </c>
      <c r="C164" s="27">
        <v>1.3022399999999999E-4</v>
      </c>
      <c r="D164" s="27" t="s">
        <v>57</v>
      </c>
    </row>
    <row r="165" spans="1:4" x14ac:dyDescent="0.2">
      <c r="A165" s="13" t="s">
        <v>29</v>
      </c>
      <c r="B165" s="27">
        <v>4166.6666670000004</v>
      </c>
      <c r="C165" s="27">
        <v>2.7459300000000001E-4</v>
      </c>
      <c r="D165" s="27" t="s">
        <v>57</v>
      </c>
    </row>
    <row r="166" spans="1:4" x14ac:dyDescent="0.2">
      <c r="A166" s="13" t="s">
        <v>29</v>
      </c>
      <c r="B166" s="27">
        <v>0</v>
      </c>
      <c r="C166" s="18">
        <v>6.3083399999999996E-6</v>
      </c>
      <c r="D166" s="27" t="s">
        <v>42</v>
      </c>
    </row>
    <row r="167" spans="1:4" x14ac:dyDescent="0.2">
      <c r="A167" s="13" t="s">
        <v>29</v>
      </c>
      <c r="B167" s="27">
        <v>41.666666669999998</v>
      </c>
      <c r="C167" s="18">
        <v>6.6058999999999997E-6</v>
      </c>
      <c r="D167" s="27" t="s">
        <v>42</v>
      </c>
    </row>
    <row r="168" spans="1:4" x14ac:dyDescent="0.2">
      <c r="A168" s="13" t="s">
        <v>29</v>
      </c>
      <c r="B168" s="27">
        <v>83.333333330000002</v>
      </c>
      <c r="C168" s="18">
        <v>1.72983E-5</v>
      </c>
      <c r="D168" s="27" t="s">
        <v>42</v>
      </c>
    </row>
    <row r="169" spans="1:4" x14ac:dyDescent="0.2">
      <c r="A169" s="13" t="s">
        <v>29</v>
      </c>
      <c r="B169" s="27">
        <v>83.333333330000002</v>
      </c>
      <c r="C169" s="18">
        <v>1.6723099999999999E-5</v>
      </c>
      <c r="D169" s="27" t="s">
        <v>42</v>
      </c>
    </row>
    <row r="170" spans="1:4" x14ac:dyDescent="0.2">
      <c r="A170" s="13" t="s">
        <v>29</v>
      </c>
      <c r="B170" s="27">
        <v>125</v>
      </c>
      <c r="C170" s="18">
        <v>3.8207100000000002E-5</v>
      </c>
      <c r="D170" s="27" t="s">
        <v>42</v>
      </c>
    </row>
    <row r="171" spans="1:4" x14ac:dyDescent="0.2">
      <c r="A171" s="13" t="s">
        <v>29</v>
      </c>
      <c r="B171" s="27">
        <v>125</v>
      </c>
      <c r="C171" s="18">
        <v>3.6312600000000002E-5</v>
      </c>
      <c r="D171" s="27" t="s">
        <v>42</v>
      </c>
    </row>
    <row r="172" spans="1:4" x14ac:dyDescent="0.2">
      <c r="A172" s="13" t="s">
        <v>29</v>
      </c>
      <c r="B172" s="27">
        <v>166.66666670000001</v>
      </c>
      <c r="C172" s="27">
        <v>1.02015E-4</v>
      </c>
      <c r="D172" s="27" t="s">
        <v>42</v>
      </c>
    </row>
    <row r="173" spans="1:4" x14ac:dyDescent="0.2">
      <c r="A173" s="13" t="s">
        <v>29</v>
      </c>
      <c r="B173" s="27">
        <v>166.66666670000001</v>
      </c>
      <c r="C173" s="18">
        <v>6.5513500000000002E-5</v>
      </c>
      <c r="D173" s="27" t="s">
        <v>42</v>
      </c>
    </row>
    <row r="174" spans="1:4" x14ac:dyDescent="0.2">
      <c r="A174" s="13" t="s">
        <v>29</v>
      </c>
      <c r="B174" s="27">
        <v>250</v>
      </c>
      <c r="C174" s="27">
        <v>1.42344E-4</v>
      </c>
      <c r="D174" s="27" t="s">
        <v>42</v>
      </c>
    </row>
    <row r="175" spans="1:4" x14ac:dyDescent="0.2">
      <c r="A175" s="13" t="s">
        <v>29</v>
      </c>
      <c r="B175" s="27">
        <v>250</v>
      </c>
      <c r="C175" s="27">
        <v>1.51013E-4</v>
      </c>
      <c r="D175" s="27" t="s">
        <v>42</v>
      </c>
    </row>
    <row r="176" spans="1:4" x14ac:dyDescent="0.2">
      <c r="A176" s="13" t="s">
        <v>29</v>
      </c>
      <c r="B176" s="27">
        <v>333.33333329999999</v>
      </c>
      <c r="C176" s="27">
        <v>2.1372000000000001E-4</v>
      </c>
      <c r="D176" s="27" t="s">
        <v>42</v>
      </c>
    </row>
    <row r="177" spans="1:4" x14ac:dyDescent="0.2">
      <c r="A177" s="13" t="s">
        <v>29</v>
      </c>
      <c r="B177" s="27">
        <v>333.33333329999999</v>
      </c>
      <c r="C177" s="27">
        <v>2.47156E-4</v>
      </c>
      <c r="D177" s="27" t="s">
        <v>42</v>
      </c>
    </row>
    <row r="178" spans="1:4" x14ac:dyDescent="0.2">
      <c r="A178" s="13" t="s">
        <v>29</v>
      </c>
      <c r="B178" s="27">
        <v>416.66666670000001</v>
      </c>
      <c r="C178" s="27">
        <v>3.0992200000000002E-4</v>
      </c>
      <c r="D178" s="27" t="s">
        <v>42</v>
      </c>
    </row>
    <row r="179" spans="1:4" x14ac:dyDescent="0.2">
      <c r="A179" s="13" t="s">
        <v>29</v>
      </c>
      <c r="B179" s="27">
        <v>416.66666670000001</v>
      </c>
      <c r="C179" s="27">
        <v>3.1554599999999999E-4</v>
      </c>
      <c r="D179" s="27" t="s">
        <v>42</v>
      </c>
    </row>
    <row r="180" spans="1:4" x14ac:dyDescent="0.2">
      <c r="A180" s="13" t="s">
        <v>29</v>
      </c>
      <c r="B180" s="27">
        <v>500</v>
      </c>
      <c r="C180" s="27">
        <v>3.3396499999999998E-4</v>
      </c>
      <c r="D180" s="27" t="s">
        <v>42</v>
      </c>
    </row>
    <row r="181" spans="1:4" x14ac:dyDescent="0.2">
      <c r="A181" s="13" t="s">
        <v>29</v>
      </c>
      <c r="B181" s="27">
        <v>500</v>
      </c>
      <c r="C181" s="27">
        <v>3.7766699999999999E-4</v>
      </c>
      <c r="D181" s="27" t="s">
        <v>42</v>
      </c>
    </row>
    <row r="182" spans="1:4" x14ac:dyDescent="0.2">
      <c r="A182" s="13" t="s">
        <v>29</v>
      </c>
      <c r="B182" s="27">
        <v>583.33333330000005</v>
      </c>
      <c r="C182" s="27">
        <v>3.6565600000000001E-4</v>
      </c>
      <c r="D182" s="27" t="s">
        <v>42</v>
      </c>
    </row>
    <row r="183" spans="1:4" x14ac:dyDescent="0.2">
      <c r="A183" s="13" t="s">
        <v>29</v>
      </c>
      <c r="B183" s="27">
        <v>583.33333330000005</v>
      </c>
      <c r="C183" s="27">
        <v>3.5397100000000002E-4</v>
      </c>
      <c r="D183" s="27" t="s">
        <v>42</v>
      </c>
    </row>
    <row r="184" spans="1:4" x14ac:dyDescent="0.2">
      <c r="A184" s="13" t="s">
        <v>29</v>
      </c>
      <c r="B184" s="27">
        <v>666.66666669999995</v>
      </c>
      <c r="C184" s="27">
        <v>3.7350099999999999E-4</v>
      </c>
      <c r="D184" s="27" t="s">
        <v>42</v>
      </c>
    </row>
    <row r="185" spans="1:4" x14ac:dyDescent="0.2">
      <c r="A185" s="13" t="s">
        <v>29</v>
      </c>
      <c r="B185" s="27">
        <v>666.66666669999995</v>
      </c>
      <c r="C185" s="27">
        <v>3.6587399999999997E-4</v>
      </c>
      <c r="D185" s="27" t="s">
        <v>42</v>
      </c>
    </row>
    <row r="186" spans="1:4" x14ac:dyDescent="0.2">
      <c r="A186" s="13" t="s">
        <v>29</v>
      </c>
      <c r="B186" s="27">
        <v>833.33333330000005</v>
      </c>
      <c r="C186" s="27">
        <v>3.5630200000000002E-4</v>
      </c>
      <c r="D186" s="27" t="s">
        <v>42</v>
      </c>
    </row>
    <row r="187" spans="1:4" x14ac:dyDescent="0.2">
      <c r="A187" s="13" t="s">
        <v>29</v>
      </c>
      <c r="B187" s="27">
        <v>833.33333330000005</v>
      </c>
      <c r="C187" s="27">
        <v>3.8294400000000003E-4</v>
      </c>
      <c r="D187" s="27" t="s">
        <v>42</v>
      </c>
    </row>
    <row r="188" spans="1:4" x14ac:dyDescent="0.2">
      <c r="A188" s="13" t="s">
        <v>29</v>
      </c>
      <c r="B188" s="27">
        <v>1000</v>
      </c>
      <c r="C188" s="27">
        <v>3.6033899999999999E-4</v>
      </c>
      <c r="D188" s="27" t="s">
        <v>42</v>
      </c>
    </row>
    <row r="189" spans="1:4" x14ac:dyDescent="0.2">
      <c r="A189" s="13" t="s">
        <v>29</v>
      </c>
      <c r="B189" s="27">
        <v>1000</v>
      </c>
      <c r="C189" s="27">
        <v>3.6128100000000003E-4</v>
      </c>
      <c r="D189" s="27" t="s">
        <v>42</v>
      </c>
    </row>
    <row r="190" spans="1:4" x14ac:dyDescent="0.2">
      <c r="A190" s="13" t="s">
        <v>29</v>
      </c>
      <c r="B190" s="27">
        <v>1166.666667</v>
      </c>
      <c r="C190" s="27">
        <v>3.5670899999999998E-4</v>
      </c>
      <c r="D190" s="27" t="s">
        <v>42</v>
      </c>
    </row>
    <row r="191" spans="1:4" x14ac:dyDescent="0.2">
      <c r="A191" s="13" t="s">
        <v>29</v>
      </c>
      <c r="B191" s="27">
        <v>1166.666667</v>
      </c>
      <c r="C191" s="27">
        <v>3.9104800000000001E-4</v>
      </c>
      <c r="D191" s="27" t="s">
        <v>42</v>
      </c>
    </row>
    <row r="192" spans="1:4" x14ac:dyDescent="0.2">
      <c r="A192" s="13" t="s">
        <v>29</v>
      </c>
      <c r="B192" s="27">
        <v>1333.333333</v>
      </c>
      <c r="C192" s="27">
        <v>3.5896000000000002E-4</v>
      </c>
      <c r="D192" s="27" t="s">
        <v>42</v>
      </c>
    </row>
    <row r="193" spans="1:4" x14ac:dyDescent="0.2">
      <c r="A193" s="13" t="s">
        <v>29</v>
      </c>
      <c r="B193" s="27">
        <v>1333.333333</v>
      </c>
      <c r="C193" s="27">
        <v>3.6260099999999999E-4</v>
      </c>
      <c r="D193" s="27" t="s">
        <v>42</v>
      </c>
    </row>
    <row r="194" spans="1:4" x14ac:dyDescent="0.2">
      <c r="A194" s="13" t="s">
        <v>29</v>
      </c>
      <c r="B194" s="27">
        <v>1500</v>
      </c>
      <c r="C194" s="27">
        <v>3.6793699999999998E-4</v>
      </c>
      <c r="D194" s="27" t="s">
        <v>42</v>
      </c>
    </row>
    <row r="195" spans="1:4" x14ac:dyDescent="0.2">
      <c r="A195" s="13" t="s">
        <v>29</v>
      </c>
      <c r="B195" s="27">
        <v>1500</v>
      </c>
      <c r="C195" s="27">
        <v>3.69911E-4</v>
      </c>
      <c r="D195" s="27" t="s">
        <v>42</v>
      </c>
    </row>
    <row r="196" spans="1:4" x14ac:dyDescent="0.2">
      <c r="A196" s="13" t="s">
        <v>29</v>
      </c>
      <c r="B196" s="27">
        <v>1666.666667</v>
      </c>
      <c r="C196" s="27">
        <v>3.4777199999999999E-4</v>
      </c>
      <c r="D196" s="27" t="s">
        <v>42</v>
      </c>
    </row>
    <row r="197" spans="1:4" x14ac:dyDescent="0.2">
      <c r="A197" s="13" t="s">
        <v>29</v>
      </c>
      <c r="B197" s="27">
        <v>1666.666667</v>
      </c>
      <c r="C197" s="27">
        <v>3.4820800000000002E-4</v>
      </c>
      <c r="D197" s="27" t="s">
        <v>42</v>
      </c>
    </row>
    <row r="198" spans="1:4" x14ac:dyDescent="0.2">
      <c r="A198" s="13" t="s">
        <v>29</v>
      </c>
      <c r="B198" s="27">
        <v>1833.333333</v>
      </c>
      <c r="C198" s="27">
        <v>3.65239E-4</v>
      </c>
      <c r="D198" s="27" t="s">
        <v>42</v>
      </c>
    </row>
    <row r="199" spans="1:4" x14ac:dyDescent="0.2">
      <c r="A199" s="13" t="s">
        <v>29</v>
      </c>
      <c r="B199" s="27">
        <v>1833.333333</v>
      </c>
      <c r="C199" s="27">
        <v>3.5497300000000002E-4</v>
      </c>
      <c r="D199" s="27" t="s">
        <v>42</v>
      </c>
    </row>
    <row r="200" spans="1:4" x14ac:dyDescent="0.2">
      <c r="A200" s="13" t="s">
        <v>29</v>
      </c>
      <c r="B200" s="27">
        <v>2000</v>
      </c>
      <c r="C200" s="27">
        <v>3.7627899999999998E-4</v>
      </c>
      <c r="D200" s="27" t="s">
        <v>42</v>
      </c>
    </row>
    <row r="201" spans="1:4" x14ac:dyDescent="0.2">
      <c r="A201" s="13" t="s">
        <v>29</v>
      </c>
      <c r="B201" s="27">
        <v>2000</v>
      </c>
      <c r="C201" s="27">
        <v>3.5050000000000001E-4</v>
      </c>
      <c r="D201" s="27" t="s">
        <v>42</v>
      </c>
    </row>
    <row r="202" spans="1:4" x14ac:dyDescent="0.2">
      <c r="A202" s="13" t="s">
        <v>29</v>
      </c>
      <c r="B202" s="27">
        <v>2166.666667</v>
      </c>
      <c r="C202" s="27">
        <v>3.5643099999999999E-4</v>
      </c>
      <c r="D202" s="27" t="s">
        <v>42</v>
      </c>
    </row>
    <row r="203" spans="1:4" x14ac:dyDescent="0.2">
      <c r="A203" s="13" t="s">
        <v>29</v>
      </c>
      <c r="B203" s="27">
        <v>2166.666667</v>
      </c>
      <c r="C203" s="27">
        <v>3.74979E-4</v>
      </c>
      <c r="D203" s="27" t="s">
        <v>42</v>
      </c>
    </row>
    <row r="204" spans="1:4" x14ac:dyDescent="0.2">
      <c r="A204" s="13" t="s">
        <v>29</v>
      </c>
      <c r="B204" s="27">
        <v>2500</v>
      </c>
      <c r="C204" s="27">
        <v>3.6224400000000001E-4</v>
      </c>
      <c r="D204" s="27" t="s">
        <v>42</v>
      </c>
    </row>
    <row r="205" spans="1:4" x14ac:dyDescent="0.2">
      <c r="A205" s="13" t="s">
        <v>29</v>
      </c>
      <c r="B205" s="27">
        <v>2500</v>
      </c>
      <c r="C205" s="27">
        <v>3.6148000000000002E-4</v>
      </c>
      <c r="D205" s="27" t="s">
        <v>42</v>
      </c>
    </row>
    <row r="206" spans="1:4" x14ac:dyDescent="0.2">
      <c r="A206" s="13" t="s">
        <v>29</v>
      </c>
      <c r="B206" s="27">
        <v>2833.333333</v>
      </c>
      <c r="C206" s="27">
        <v>3.5933699999999999E-4</v>
      </c>
      <c r="D206" s="27" t="s">
        <v>42</v>
      </c>
    </row>
    <row r="207" spans="1:4" x14ac:dyDescent="0.2">
      <c r="A207" s="13" t="s">
        <v>29</v>
      </c>
      <c r="B207" s="27">
        <v>2833.333333</v>
      </c>
      <c r="C207" s="27">
        <v>3.5528099999999999E-4</v>
      </c>
      <c r="D207" s="27" t="s">
        <v>42</v>
      </c>
    </row>
    <row r="208" spans="1:4" x14ac:dyDescent="0.2">
      <c r="A208" s="13" t="s">
        <v>29</v>
      </c>
      <c r="B208" s="27">
        <v>3166.666667</v>
      </c>
      <c r="C208" s="27">
        <v>3.6109299999999999E-4</v>
      </c>
      <c r="D208" s="27" t="s">
        <v>42</v>
      </c>
    </row>
    <row r="209" spans="1:4" x14ac:dyDescent="0.2">
      <c r="A209" s="13" t="s">
        <v>29</v>
      </c>
      <c r="B209" s="27">
        <v>3166.666667</v>
      </c>
      <c r="C209" s="27">
        <v>3.6127099999999998E-4</v>
      </c>
      <c r="D209" s="27" t="s">
        <v>42</v>
      </c>
    </row>
    <row r="210" spans="1:4" x14ac:dyDescent="0.2">
      <c r="A210" s="13" t="s">
        <v>29</v>
      </c>
      <c r="B210" s="27">
        <v>3500</v>
      </c>
      <c r="C210" s="27">
        <v>3.7409599999999998E-4</v>
      </c>
      <c r="D210" s="27" t="s">
        <v>42</v>
      </c>
    </row>
    <row r="211" spans="1:4" x14ac:dyDescent="0.2">
      <c r="A211" s="13" t="s">
        <v>29</v>
      </c>
      <c r="B211" s="27">
        <v>3500</v>
      </c>
      <c r="C211" s="27">
        <v>3.42426E-4</v>
      </c>
      <c r="D211" s="27" t="s">
        <v>42</v>
      </c>
    </row>
    <row r="212" spans="1:4" x14ac:dyDescent="0.2">
      <c r="A212" s="13" t="s">
        <v>29</v>
      </c>
      <c r="B212" s="27">
        <v>3833.333333</v>
      </c>
      <c r="C212" s="27">
        <v>3.57344E-4</v>
      </c>
      <c r="D212" s="27" t="s">
        <v>42</v>
      </c>
    </row>
    <row r="213" spans="1:4" x14ac:dyDescent="0.2">
      <c r="A213" s="13" t="s">
        <v>29</v>
      </c>
      <c r="B213" s="27">
        <v>3833.333333</v>
      </c>
      <c r="C213" s="27">
        <v>3.6604200000000002E-4</v>
      </c>
      <c r="D213" s="27" t="s">
        <v>42</v>
      </c>
    </row>
    <row r="214" spans="1:4" x14ac:dyDescent="0.2">
      <c r="A214" s="13" t="s">
        <v>29</v>
      </c>
      <c r="B214" s="27">
        <v>4166.6666670000004</v>
      </c>
      <c r="C214" s="27">
        <v>1.7140600000000001E-4</v>
      </c>
      <c r="D214" s="27" t="s">
        <v>42</v>
      </c>
    </row>
    <row r="215" spans="1:4" x14ac:dyDescent="0.2">
      <c r="A215" s="13" t="s">
        <v>29</v>
      </c>
      <c r="B215" s="27">
        <v>4166.6666670000004</v>
      </c>
      <c r="C215" s="27">
        <v>3.4551100000000001E-4</v>
      </c>
      <c r="D215" s="27" t="s">
        <v>42</v>
      </c>
    </row>
    <row r="216" spans="1:4" x14ac:dyDescent="0.2">
      <c r="A216" s="13" t="s">
        <v>29</v>
      </c>
      <c r="B216" s="27">
        <v>0</v>
      </c>
      <c r="C216" s="18">
        <v>1.2908099999999999E-5</v>
      </c>
      <c r="D216" s="27" t="s">
        <v>49</v>
      </c>
    </row>
    <row r="217" spans="1:4" x14ac:dyDescent="0.2">
      <c r="A217" s="13" t="s">
        <v>29</v>
      </c>
      <c r="B217" s="27">
        <v>41.666666669999998</v>
      </c>
      <c r="C217" s="18">
        <v>1.08881E-5</v>
      </c>
      <c r="D217" s="27" t="s">
        <v>49</v>
      </c>
    </row>
    <row r="218" spans="1:4" x14ac:dyDescent="0.2">
      <c r="A218" s="13" t="s">
        <v>29</v>
      </c>
      <c r="B218" s="27">
        <v>83.333333330000002</v>
      </c>
      <c r="C218" s="18">
        <v>5.7248299999999999E-5</v>
      </c>
      <c r="D218" s="27" t="s">
        <v>49</v>
      </c>
    </row>
    <row r="219" spans="1:4" x14ac:dyDescent="0.2">
      <c r="A219" s="13" t="s">
        <v>29</v>
      </c>
      <c r="B219" s="27">
        <v>83.333333330000002</v>
      </c>
      <c r="C219" s="18">
        <v>4.7087399999999999E-5</v>
      </c>
      <c r="D219" s="27" t="s">
        <v>49</v>
      </c>
    </row>
    <row r="220" spans="1:4" x14ac:dyDescent="0.2">
      <c r="A220" s="13" t="s">
        <v>29</v>
      </c>
      <c r="B220" s="27">
        <v>125</v>
      </c>
      <c r="C220" s="27">
        <v>1.18708E-4</v>
      </c>
      <c r="D220" s="27" t="s">
        <v>49</v>
      </c>
    </row>
    <row r="221" spans="1:4" x14ac:dyDescent="0.2">
      <c r="A221" s="13" t="s">
        <v>29</v>
      </c>
      <c r="B221" s="27">
        <v>125</v>
      </c>
      <c r="C221" s="27">
        <v>1.0374000000000001E-4</v>
      </c>
      <c r="D221" s="27" t="s">
        <v>49</v>
      </c>
    </row>
    <row r="222" spans="1:4" x14ac:dyDescent="0.2">
      <c r="A222" s="13" t="s">
        <v>29</v>
      </c>
      <c r="B222" s="27">
        <v>166.66666670000001</v>
      </c>
      <c r="C222" s="27">
        <v>1.78896E-4</v>
      </c>
      <c r="D222" s="27" t="s">
        <v>49</v>
      </c>
    </row>
    <row r="223" spans="1:4" x14ac:dyDescent="0.2">
      <c r="A223" s="13" t="s">
        <v>29</v>
      </c>
      <c r="B223" s="27">
        <v>166.66666670000001</v>
      </c>
      <c r="C223" s="27">
        <v>1.75522E-4</v>
      </c>
      <c r="D223" s="27" t="s">
        <v>49</v>
      </c>
    </row>
    <row r="224" spans="1:4" x14ac:dyDescent="0.2">
      <c r="A224" s="13" t="s">
        <v>29</v>
      </c>
      <c r="B224" s="27">
        <v>250</v>
      </c>
      <c r="C224" s="27">
        <v>2.6955600000000001E-4</v>
      </c>
      <c r="D224" s="27" t="s">
        <v>49</v>
      </c>
    </row>
    <row r="225" spans="1:4" x14ac:dyDescent="0.2">
      <c r="A225" s="13" t="s">
        <v>29</v>
      </c>
      <c r="B225" s="27">
        <v>250</v>
      </c>
      <c r="C225" s="27">
        <v>2.7711100000000002E-4</v>
      </c>
      <c r="D225" s="27" t="s">
        <v>49</v>
      </c>
    </row>
    <row r="226" spans="1:4" x14ac:dyDescent="0.2">
      <c r="A226" s="13" t="s">
        <v>29</v>
      </c>
      <c r="B226" s="27">
        <v>333.33333329999999</v>
      </c>
      <c r="C226" s="27">
        <v>2.8692799999999999E-4</v>
      </c>
      <c r="D226" s="27" t="s">
        <v>49</v>
      </c>
    </row>
    <row r="227" spans="1:4" x14ac:dyDescent="0.2">
      <c r="A227" s="13" t="s">
        <v>29</v>
      </c>
      <c r="B227" s="27">
        <v>333.33333329999999</v>
      </c>
      <c r="C227" s="27">
        <v>2.9180699999999999E-4</v>
      </c>
      <c r="D227" s="27" t="s">
        <v>49</v>
      </c>
    </row>
    <row r="228" spans="1:4" x14ac:dyDescent="0.2">
      <c r="A228" s="13" t="s">
        <v>29</v>
      </c>
      <c r="B228" s="27">
        <v>416.66666670000001</v>
      </c>
      <c r="C228" s="27">
        <v>3.02119E-4</v>
      </c>
      <c r="D228" s="27" t="s">
        <v>49</v>
      </c>
    </row>
    <row r="229" spans="1:4" x14ac:dyDescent="0.2">
      <c r="A229" s="13" t="s">
        <v>29</v>
      </c>
      <c r="B229" s="27">
        <v>416.66666670000001</v>
      </c>
      <c r="C229" s="27">
        <v>2.9026099999999999E-4</v>
      </c>
      <c r="D229" s="27" t="s">
        <v>49</v>
      </c>
    </row>
    <row r="230" spans="1:4" x14ac:dyDescent="0.2">
      <c r="A230" s="13" t="s">
        <v>29</v>
      </c>
      <c r="B230" s="27">
        <v>500</v>
      </c>
      <c r="C230" s="27">
        <v>2.9211999999999999E-4</v>
      </c>
      <c r="D230" s="27" t="s">
        <v>49</v>
      </c>
    </row>
    <row r="231" spans="1:4" x14ac:dyDescent="0.2">
      <c r="A231" s="13" t="s">
        <v>29</v>
      </c>
      <c r="B231" s="27">
        <v>500</v>
      </c>
      <c r="C231" s="27">
        <v>3.13209E-4</v>
      </c>
      <c r="D231" s="27" t="s">
        <v>49</v>
      </c>
    </row>
    <row r="232" spans="1:4" x14ac:dyDescent="0.2">
      <c r="A232" s="13" t="s">
        <v>29</v>
      </c>
      <c r="B232" s="27">
        <v>583.33333330000005</v>
      </c>
      <c r="C232" s="27">
        <v>3.03331E-4</v>
      </c>
      <c r="D232" s="27" t="s">
        <v>49</v>
      </c>
    </row>
    <row r="233" spans="1:4" x14ac:dyDescent="0.2">
      <c r="A233" s="13" t="s">
        <v>29</v>
      </c>
      <c r="B233" s="27">
        <v>583.33333330000005</v>
      </c>
      <c r="C233" s="27">
        <v>2.88595E-4</v>
      </c>
      <c r="D233" s="27" t="s">
        <v>49</v>
      </c>
    </row>
    <row r="234" spans="1:4" x14ac:dyDescent="0.2">
      <c r="A234" s="13" t="s">
        <v>29</v>
      </c>
      <c r="B234" s="27">
        <v>666.66666669999995</v>
      </c>
      <c r="C234" s="27">
        <v>3.0432099999999998E-4</v>
      </c>
      <c r="D234" s="27" t="s">
        <v>49</v>
      </c>
    </row>
    <row r="235" spans="1:4" x14ac:dyDescent="0.2">
      <c r="A235" s="13" t="s">
        <v>29</v>
      </c>
      <c r="B235" s="27">
        <v>666.66666669999995</v>
      </c>
      <c r="C235" s="27">
        <v>2.99654E-4</v>
      </c>
      <c r="D235" s="27" t="s">
        <v>49</v>
      </c>
    </row>
    <row r="236" spans="1:4" x14ac:dyDescent="0.2">
      <c r="A236" s="13" t="s">
        <v>29</v>
      </c>
      <c r="B236" s="27">
        <v>833.33333330000005</v>
      </c>
      <c r="C236" s="27">
        <v>2.9845300000000001E-4</v>
      </c>
      <c r="D236" s="27" t="s">
        <v>49</v>
      </c>
    </row>
    <row r="237" spans="1:4" x14ac:dyDescent="0.2">
      <c r="A237" s="13" t="s">
        <v>29</v>
      </c>
      <c r="B237" s="27">
        <v>833.33333330000005</v>
      </c>
      <c r="C237" s="27">
        <v>3.0911799999999999E-4</v>
      </c>
      <c r="D237" s="27" t="s">
        <v>49</v>
      </c>
    </row>
    <row r="238" spans="1:4" x14ac:dyDescent="0.2">
      <c r="A238" s="13" t="s">
        <v>29</v>
      </c>
      <c r="B238" s="27">
        <v>1000</v>
      </c>
      <c r="C238" s="27">
        <v>2.9713899999999998E-4</v>
      </c>
      <c r="D238" s="27" t="s">
        <v>49</v>
      </c>
    </row>
    <row r="239" spans="1:4" x14ac:dyDescent="0.2">
      <c r="A239" s="13" t="s">
        <v>29</v>
      </c>
      <c r="B239" s="27">
        <v>1000</v>
      </c>
      <c r="C239" s="27">
        <v>2.91756E-4</v>
      </c>
      <c r="D239" s="27" t="s">
        <v>49</v>
      </c>
    </row>
    <row r="240" spans="1:4" x14ac:dyDescent="0.2">
      <c r="A240" s="13" t="s">
        <v>29</v>
      </c>
      <c r="B240" s="27">
        <v>1166.666667</v>
      </c>
      <c r="C240" s="27">
        <v>2.9775599999999999E-4</v>
      </c>
      <c r="D240" s="27" t="s">
        <v>49</v>
      </c>
    </row>
    <row r="241" spans="1:4" x14ac:dyDescent="0.2">
      <c r="A241" s="13" t="s">
        <v>29</v>
      </c>
      <c r="B241" s="27">
        <v>1166.666667</v>
      </c>
      <c r="C241" s="27">
        <v>3.1588599999999998E-4</v>
      </c>
      <c r="D241" s="27" t="s">
        <v>49</v>
      </c>
    </row>
    <row r="242" spans="1:4" x14ac:dyDescent="0.2">
      <c r="A242" s="13" t="s">
        <v>29</v>
      </c>
      <c r="B242" s="27">
        <v>1333.333333</v>
      </c>
      <c r="C242" s="27">
        <v>2.9440199999999998E-4</v>
      </c>
      <c r="D242" s="27" t="s">
        <v>49</v>
      </c>
    </row>
    <row r="243" spans="1:4" x14ac:dyDescent="0.2">
      <c r="A243" s="13" t="s">
        <v>29</v>
      </c>
      <c r="B243" s="27">
        <v>1333.333333</v>
      </c>
      <c r="C243" s="27">
        <v>2.9690700000000001E-4</v>
      </c>
      <c r="D243" s="27" t="s">
        <v>49</v>
      </c>
    </row>
    <row r="244" spans="1:4" x14ac:dyDescent="0.2">
      <c r="A244" s="13" t="s">
        <v>29</v>
      </c>
      <c r="B244" s="27">
        <v>1500</v>
      </c>
      <c r="C244" s="27">
        <v>2.9832099999999999E-4</v>
      </c>
      <c r="D244" s="27" t="s">
        <v>49</v>
      </c>
    </row>
    <row r="245" spans="1:4" x14ac:dyDescent="0.2">
      <c r="A245" s="13" t="s">
        <v>29</v>
      </c>
      <c r="B245" s="27">
        <v>1500</v>
      </c>
      <c r="C245" s="27">
        <v>3.04068E-4</v>
      </c>
      <c r="D245" s="27" t="s">
        <v>49</v>
      </c>
    </row>
    <row r="246" spans="1:4" x14ac:dyDescent="0.2">
      <c r="A246" s="13" t="s">
        <v>29</v>
      </c>
      <c r="B246" s="27">
        <v>1666.666667</v>
      </c>
      <c r="C246" s="27">
        <v>2.9312000000000001E-4</v>
      </c>
      <c r="D246" s="27" t="s">
        <v>49</v>
      </c>
    </row>
    <row r="247" spans="1:4" x14ac:dyDescent="0.2">
      <c r="A247" s="13" t="s">
        <v>29</v>
      </c>
      <c r="B247" s="27">
        <v>1666.666667</v>
      </c>
      <c r="C247" s="27">
        <v>2.8516099999999998E-4</v>
      </c>
      <c r="D247" s="27" t="s">
        <v>49</v>
      </c>
    </row>
    <row r="248" spans="1:4" x14ac:dyDescent="0.2">
      <c r="A248" s="13" t="s">
        <v>29</v>
      </c>
      <c r="B248" s="27">
        <v>1833.333333</v>
      </c>
      <c r="C248" s="27">
        <v>3.0277499999999997E-4</v>
      </c>
      <c r="D248" s="27" t="s">
        <v>49</v>
      </c>
    </row>
    <row r="249" spans="1:4" x14ac:dyDescent="0.2">
      <c r="A249" s="13" t="s">
        <v>29</v>
      </c>
      <c r="B249" s="27">
        <v>1833.333333</v>
      </c>
      <c r="C249" s="27">
        <v>2.9128100000000001E-4</v>
      </c>
      <c r="D249" s="27" t="s">
        <v>49</v>
      </c>
    </row>
    <row r="250" spans="1:4" x14ac:dyDescent="0.2">
      <c r="A250" s="13" t="s">
        <v>29</v>
      </c>
      <c r="B250" s="27">
        <v>2000</v>
      </c>
      <c r="C250" s="27">
        <v>3.1101700000000002E-4</v>
      </c>
      <c r="D250" s="27" t="s">
        <v>49</v>
      </c>
    </row>
    <row r="251" spans="1:4" x14ac:dyDescent="0.2">
      <c r="A251" s="13" t="s">
        <v>29</v>
      </c>
      <c r="B251" s="27">
        <v>2000</v>
      </c>
      <c r="C251" s="27">
        <v>2.8357499999999999E-4</v>
      </c>
      <c r="D251" s="27" t="s">
        <v>49</v>
      </c>
    </row>
    <row r="252" spans="1:4" x14ac:dyDescent="0.2">
      <c r="A252" s="13" t="s">
        <v>29</v>
      </c>
      <c r="B252" s="27">
        <v>2166.666667</v>
      </c>
      <c r="C252" s="27">
        <v>2.9668499999999998E-4</v>
      </c>
      <c r="D252" s="27" t="s">
        <v>49</v>
      </c>
    </row>
    <row r="253" spans="1:4" x14ac:dyDescent="0.2">
      <c r="A253" s="13" t="s">
        <v>29</v>
      </c>
      <c r="B253" s="27">
        <v>2166.666667</v>
      </c>
      <c r="C253" s="27">
        <v>3.0965399999999997E-4</v>
      </c>
      <c r="D253" s="27" t="s">
        <v>49</v>
      </c>
    </row>
    <row r="254" spans="1:4" x14ac:dyDescent="0.2">
      <c r="A254" s="13" t="s">
        <v>29</v>
      </c>
      <c r="B254" s="27">
        <v>2500</v>
      </c>
      <c r="C254" s="27">
        <v>2.98786E-4</v>
      </c>
      <c r="D254" s="27" t="s">
        <v>49</v>
      </c>
    </row>
    <row r="255" spans="1:4" x14ac:dyDescent="0.2">
      <c r="A255" s="13" t="s">
        <v>29</v>
      </c>
      <c r="B255" s="27">
        <v>2500</v>
      </c>
      <c r="C255" s="27">
        <v>3.0265400000000002E-4</v>
      </c>
      <c r="D255" s="27" t="s">
        <v>49</v>
      </c>
    </row>
    <row r="256" spans="1:4" x14ac:dyDescent="0.2">
      <c r="A256" s="13" t="s">
        <v>29</v>
      </c>
      <c r="B256" s="27">
        <v>2833.333333</v>
      </c>
      <c r="C256" s="27">
        <v>2.9528099999999999E-4</v>
      </c>
      <c r="D256" s="27" t="s">
        <v>49</v>
      </c>
    </row>
    <row r="257" spans="1:4" x14ac:dyDescent="0.2">
      <c r="A257" s="13" t="s">
        <v>29</v>
      </c>
      <c r="B257" s="27">
        <v>2833.333333</v>
      </c>
      <c r="C257" s="27">
        <v>2.9172600000000002E-4</v>
      </c>
      <c r="D257" s="27" t="s">
        <v>49</v>
      </c>
    </row>
    <row r="258" spans="1:4" x14ac:dyDescent="0.2">
      <c r="A258" s="13" t="s">
        <v>29</v>
      </c>
      <c r="B258" s="27">
        <v>3166.666667</v>
      </c>
      <c r="C258" s="27">
        <v>2.95271E-4</v>
      </c>
      <c r="D258" s="27" t="s">
        <v>49</v>
      </c>
    </row>
    <row r="259" spans="1:4" x14ac:dyDescent="0.2">
      <c r="A259" s="13" t="s">
        <v>29</v>
      </c>
      <c r="B259" s="27">
        <v>3166.666667</v>
      </c>
      <c r="C259" s="27">
        <v>2.9875600000000001E-4</v>
      </c>
      <c r="D259" s="27" t="s">
        <v>49</v>
      </c>
    </row>
    <row r="260" spans="1:4" x14ac:dyDescent="0.2">
      <c r="A260" s="13" t="s">
        <v>29</v>
      </c>
      <c r="B260" s="27">
        <v>3500</v>
      </c>
      <c r="C260" s="27">
        <v>3.0617900000000001E-4</v>
      </c>
      <c r="D260" s="27" t="s">
        <v>49</v>
      </c>
    </row>
    <row r="261" spans="1:4" x14ac:dyDescent="0.2">
      <c r="A261" s="13" t="s">
        <v>29</v>
      </c>
      <c r="B261" s="27">
        <v>3500</v>
      </c>
      <c r="C261" s="27">
        <v>2.82484E-4</v>
      </c>
      <c r="D261" s="27" t="s">
        <v>49</v>
      </c>
    </row>
    <row r="262" spans="1:4" x14ac:dyDescent="0.2">
      <c r="A262" s="13" t="s">
        <v>29</v>
      </c>
      <c r="B262" s="27">
        <v>3833.333333</v>
      </c>
      <c r="C262" s="27">
        <v>2.9552300000000001E-4</v>
      </c>
      <c r="D262" s="27" t="s">
        <v>49</v>
      </c>
    </row>
    <row r="263" spans="1:4" x14ac:dyDescent="0.2">
      <c r="A263" s="13" t="s">
        <v>29</v>
      </c>
      <c r="B263" s="27">
        <v>3833.333333</v>
      </c>
      <c r="C263" s="27">
        <v>3.0277499999999997E-4</v>
      </c>
      <c r="D263" s="27" t="s">
        <v>49</v>
      </c>
    </row>
    <row r="264" spans="1:4" x14ac:dyDescent="0.2">
      <c r="A264" s="13" t="s">
        <v>29</v>
      </c>
      <c r="B264" s="27">
        <v>4166.6666670000004</v>
      </c>
      <c r="C264" s="27">
        <v>1.4165599999999999E-4</v>
      </c>
      <c r="D264" s="27" t="s">
        <v>49</v>
      </c>
    </row>
    <row r="265" spans="1:4" x14ac:dyDescent="0.2">
      <c r="A265" s="13" t="s">
        <v>29</v>
      </c>
      <c r="B265" s="27">
        <v>4166.6666670000004</v>
      </c>
      <c r="C265" s="27">
        <v>2.91897E-4</v>
      </c>
      <c r="D265" s="27" t="s">
        <v>49</v>
      </c>
    </row>
    <row r="266" spans="1:4" x14ac:dyDescent="0.2">
      <c r="A266" s="13" t="s">
        <v>29</v>
      </c>
      <c r="B266" s="27">
        <v>0</v>
      </c>
      <c r="C266" s="18">
        <v>9.4209600000000005E-7</v>
      </c>
      <c r="D266" s="27" t="s">
        <v>50</v>
      </c>
    </row>
    <row r="267" spans="1:4" x14ac:dyDescent="0.2">
      <c r="A267" s="13" t="s">
        <v>29</v>
      </c>
      <c r="B267" s="27">
        <v>41.666666669999998</v>
      </c>
      <c r="C267" s="18">
        <v>1.1503499999999999E-6</v>
      </c>
      <c r="D267" s="27" t="s">
        <v>50</v>
      </c>
    </row>
    <row r="268" spans="1:4" x14ac:dyDescent="0.2">
      <c r="A268" s="13" t="s">
        <v>29</v>
      </c>
      <c r="B268" s="27">
        <v>83.333333330000002</v>
      </c>
      <c r="C268" s="18">
        <v>3.2824600000000001E-6</v>
      </c>
      <c r="D268" s="27" t="s">
        <v>50</v>
      </c>
    </row>
    <row r="269" spans="1:4" x14ac:dyDescent="0.2">
      <c r="A269" s="13" t="s">
        <v>29</v>
      </c>
      <c r="B269" s="27">
        <v>83.333333330000002</v>
      </c>
      <c r="C269" s="18">
        <v>2.8262900000000001E-6</v>
      </c>
      <c r="D269" s="27" t="s">
        <v>50</v>
      </c>
    </row>
    <row r="270" spans="1:4" x14ac:dyDescent="0.2">
      <c r="A270" s="13" t="s">
        <v>29</v>
      </c>
      <c r="B270" s="27">
        <v>125</v>
      </c>
      <c r="C270" s="18">
        <v>7.9532799999999992E-6</v>
      </c>
      <c r="D270" s="27" t="s">
        <v>50</v>
      </c>
    </row>
    <row r="271" spans="1:4" x14ac:dyDescent="0.2">
      <c r="A271" s="13" t="s">
        <v>29</v>
      </c>
      <c r="B271" s="27">
        <v>125</v>
      </c>
      <c r="C271" s="18">
        <v>7.1797699999999999E-6</v>
      </c>
      <c r="D271" s="27" t="s">
        <v>50</v>
      </c>
    </row>
    <row r="272" spans="1:4" x14ac:dyDescent="0.2">
      <c r="A272" s="13" t="s">
        <v>29</v>
      </c>
      <c r="B272" s="27">
        <v>166.66666670000001</v>
      </c>
      <c r="C272" s="18">
        <v>1.6571000000000001E-5</v>
      </c>
      <c r="D272" s="27" t="s">
        <v>50</v>
      </c>
    </row>
    <row r="273" spans="1:4" x14ac:dyDescent="0.2">
      <c r="A273" s="13" t="s">
        <v>29</v>
      </c>
      <c r="B273" s="27">
        <v>166.66666670000001</v>
      </c>
      <c r="C273" s="18">
        <v>1.35265E-5</v>
      </c>
      <c r="D273" s="27" t="s">
        <v>50</v>
      </c>
    </row>
    <row r="274" spans="1:4" x14ac:dyDescent="0.2">
      <c r="A274" s="13" t="s">
        <v>29</v>
      </c>
      <c r="B274" s="27">
        <v>250</v>
      </c>
      <c r="C274" s="18">
        <v>3.7693800000000002E-5</v>
      </c>
      <c r="D274" s="27" t="s">
        <v>50</v>
      </c>
    </row>
    <row r="275" spans="1:4" x14ac:dyDescent="0.2">
      <c r="A275" s="13" t="s">
        <v>29</v>
      </c>
      <c r="B275" s="27">
        <v>250</v>
      </c>
      <c r="C275" s="18">
        <v>3.6880600000000001E-5</v>
      </c>
      <c r="D275" s="27" t="s">
        <v>50</v>
      </c>
    </row>
    <row r="276" spans="1:4" x14ac:dyDescent="0.2">
      <c r="A276" s="13" t="s">
        <v>29</v>
      </c>
      <c r="B276" s="27">
        <v>333.33333329999999</v>
      </c>
      <c r="C276" s="18">
        <v>6.2307300000000006E-5</v>
      </c>
      <c r="D276" s="27" t="s">
        <v>50</v>
      </c>
    </row>
    <row r="277" spans="1:4" x14ac:dyDescent="0.2">
      <c r="A277" s="13" t="s">
        <v>29</v>
      </c>
      <c r="B277" s="27">
        <v>333.33333329999999</v>
      </c>
      <c r="C277" s="18">
        <v>7.0101899999999994E-5</v>
      </c>
      <c r="D277" s="27" t="s">
        <v>50</v>
      </c>
    </row>
    <row r="278" spans="1:4" x14ac:dyDescent="0.2">
      <c r="A278" s="13" t="s">
        <v>29</v>
      </c>
      <c r="B278" s="27">
        <v>416.66666670000001</v>
      </c>
      <c r="C278" s="27">
        <v>1.02649E-4</v>
      </c>
      <c r="D278" s="27" t="s">
        <v>50</v>
      </c>
    </row>
    <row r="279" spans="1:4" x14ac:dyDescent="0.2">
      <c r="A279" s="13" t="s">
        <v>29</v>
      </c>
      <c r="B279" s="27">
        <v>416.66666670000001</v>
      </c>
      <c r="C279" s="27">
        <v>1.06576E-4</v>
      </c>
      <c r="D279" s="27" t="s">
        <v>50</v>
      </c>
    </row>
    <row r="280" spans="1:4" x14ac:dyDescent="0.2">
      <c r="A280" s="13" t="s">
        <v>29</v>
      </c>
      <c r="B280" s="27">
        <v>500</v>
      </c>
      <c r="C280" s="27">
        <v>1.2885899999999999E-4</v>
      </c>
      <c r="D280" s="27" t="s">
        <v>50</v>
      </c>
    </row>
    <row r="281" spans="1:4" x14ac:dyDescent="0.2">
      <c r="A281" s="13" t="s">
        <v>29</v>
      </c>
      <c r="B281" s="27">
        <v>500</v>
      </c>
      <c r="C281" s="27">
        <v>1.5040799999999999E-4</v>
      </c>
      <c r="D281" s="27" t="s">
        <v>50</v>
      </c>
    </row>
    <row r="282" spans="1:4" x14ac:dyDescent="0.2">
      <c r="A282" s="13" t="s">
        <v>29</v>
      </c>
      <c r="B282" s="27">
        <v>583.33333330000005</v>
      </c>
      <c r="C282" s="27">
        <v>1.6113799999999999E-4</v>
      </c>
      <c r="D282" s="27" t="s">
        <v>50</v>
      </c>
    </row>
    <row r="283" spans="1:4" x14ac:dyDescent="0.2">
      <c r="A283" s="13" t="s">
        <v>29</v>
      </c>
      <c r="B283" s="27">
        <v>583.33333330000005</v>
      </c>
      <c r="C283" s="27">
        <v>1.6298300000000001E-4</v>
      </c>
      <c r="D283" s="27" t="s">
        <v>50</v>
      </c>
    </row>
    <row r="284" spans="1:4" x14ac:dyDescent="0.2">
      <c r="A284" s="13" t="s">
        <v>29</v>
      </c>
      <c r="B284" s="27">
        <v>666.66666669999995</v>
      </c>
      <c r="C284" s="27">
        <v>1.80337E-4</v>
      </c>
      <c r="D284" s="27" t="s">
        <v>50</v>
      </c>
    </row>
    <row r="285" spans="1:4" x14ac:dyDescent="0.2">
      <c r="A285" s="13" t="s">
        <v>29</v>
      </c>
      <c r="B285" s="27">
        <v>666.66666669999995</v>
      </c>
      <c r="C285" s="27">
        <v>1.8163599999999999E-4</v>
      </c>
      <c r="D285" s="27" t="s">
        <v>50</v>
      </c>
    </row>
    <row r="286" spans="1:4" x14ac:dyDescent="0.2">
      <c r="A286" s="13" t="s">
        <v>29</v>
      </c>
      <c r="B286" s="27">
        <v>833.33333330000005</v>
      </c>
      <c r="C286" s="27">
        <v>1.9231700000000001E-4</v>
      </c>
      <c r="D286" s="27" t="s">
        <v>50</v>
      </c>
    </row>
    <row r="287" spans="1:4" x14ac:dyDescent="0.2">
      <c r="A287" s="13" t="s">
        <v>29</v>
      </c>
      <c r="B287" s="27">
        <v>833.33333330000005</v>
      </c>
      <c r="C287" s="27">
        <v>2.0277899999999999E-4</v>
      </c>
      <c r="D287" s="27" t="s">
        <v>50</v>
      </c>
    </row>
    <row r="288" spans="1:4" x14ac:dyDescent="0.2">
      <c r="A288" s="13" t="s">
        <v>29</v>
      </c>
      <c r="B288" s="27">
        <v>1000</v>
      </c>
      <c r="C288" s="27">
        <v>1.9264400000000001E-4</v>
      </c>
      <c r="D288" s="27" t="s">
        <v>50</v>
      </c>
    </row>
    <row r="289" spans="1:4" x14ac:dyDescent="0.2">
      <c r="A289" s="13" t="s">
        <v>29</v>
      </c>
      <c r="B289" s="27">
        <v>1000</v>
      </c>
      <c r="C289" s="27">
        <v>1.9148400000000001E-4</v>
      </c>
      <c r="D289" s="27" t="s">
        <v>50</v>
      </c>
    </row>
    <row r="290" spans="1:4" x14ac:dyDescent="0.2">
      <c r="A290" s="13" t="s">
        <v>29</v>
      </c>
      <c r="B290" s="27">
        <v>1166.666667</v>
      </c>
      <c r="C290" s="27">
        <v>1.88915E-4</v>
      </c>
      <c r="D290" s="27" t="s">
        <v>50</v>
      </c>
    </row>
    <row r="291" spans="1:4" x14ac:dyDescent="0.2">
      <c r="A291" s="13" t="s">
        <v>29</v>
      </c>
      <c r="B291" s="27">
        <v>1166.666667</v>
      </c>
      <c r="C291" s="27">
        <v>2.06646E-4</v>
      </c>
      <c r="D291" s="27" t="s">
        <v>50</v>
      </c>
    </row>
    <row r="292" spans="1:4" x14ac:dyDescent="0.2">
      <c r="A292" s="13" t="s">
        <v>29</v>
      </c>
      <c r="B292" s="27">
        <v>1333.333333</v>
      </c>
      <c r="C292" s="27">
        <v>1.9085900000000001E-4</v>
      </c>
      <c r="D292" s="27" t="s">
        <v>50</v>
      </c>
    </row>
    <row r="293" spans="1:4" x14ac:dyDescent="0.2">
      <c r="A293" s="13" t="s">
        <v>29</v>
      </c>
      <c r="B293" s="27">
        <v>1333.333333</v>
      </c>
      <c r="C293" s="27">
        <v>1.9507300000000001E-4</v>
      </c>
      <c r="D293" s="27" t="s">
        <v>50</v>
      </c>
    </row>
    <row r="294" spans="1:4" x14ac:dyDescent="0.2">
      <c r="A294" s="13" t="s">
        <v>29</v>
      </c>
      <c r="B294" s="27">
        <v>1500</v>
      </c>
      <c r="C294" s="27">
        <v>1.9387300000000001E-4</v>
      </c>
      <c r="D294" s="27" t="s">
        <v>50</v>
      </c>
    </row>
    <row r="295" spans="1:4" x14ac:dyDescent="0.2">
      <c r="A295" s="13" t="s">
        <v>29</v>
      </c>
      <c r="B295" s="27">
        <v>1500</v>
      </c>
      <c r="C295" s="27">
        <v>1.9802900000000001E-4</v>
      </c>
      <c r="D295" s="27" t="s">
        <v>50</v>
      </c>
    </row>
    <row r="296" spans="1:4" x14ac:dyDescent="0.2">
      <c r="A296" s="13" t="s">
        <v>29</v>
      </c>
      <c r="B296" s="27">
        <v>1666.666667</v>
      </c>
      <c r="C296" s="27">
        <v>1.8680300000000001E-4</v>
      </c>
      <c r="D296" s="27" t="s">
        <v>50</v>
      </c>
    </row>
    <row r="297" spans="1:4" x14ac:dyDescent="0.2">
      <c r="A297" s="13" t="s">
        <v>29</v>
      </c>
      <c r="B297" s="27">
        <v>1666.666667</v>
      </c>
      <c r="C297" s="27">
        <v>1.8628699999999999E-4</v>
      </c>
      <c r="D297" s="27" t="s">
        <v>50</v>
      </c>
    </row>
    <row r="298" spans="1:4" x14ac:dyDescent="0.2">
      <c r="A298" s="13" t="s">
        <v>29</v>
      </c>
      <c r="B298" s="27">
        <v>1833.333333</v>
      </c>
      <c r="C298" s="27">
        <v>1.93764E-4</v>
      </c>
      <c r="D298" s="27" t="s">
        <v>50</v>
      </c>
    </row>
    <row r="299" spans="1:4" x14ac:dyDescent="0.2">
      <c r="A299" s="13" t="s">
        <v>29</v>
      </c>
      <c r="B299" s="27">
        <v>1833.333333</v>
      </c>
      <c r="C299" s="27">
        <v>1.8615799999999999E-4</v>
      </c>
      <c r="D299" s="27" t="s">
        <v>50</v>
      </c>
    </row>
    <row r="300" spans="1:4" x14ac:dyDescent="0.2">
      <c r="A300" s="13" t="s">
        <v>29</v>
      </c>
      <c r="B300" s="27">
        <v>2000</v>
      </c>
      <c r="C300" s="27">
        <v>1.9713599999999999E-4</v>
      </c>
      <c r="D300" s="27" t="s">
        <v>50</v>
      </c>
    </row>
    <row r="301" spans="1:4" x14ac:dyDescent="0.2">
      <c r="A301" s="13" t="s">
        <v>29</v>
      </c>
      <c r="B301" s="27">
        <v>2000</v>
      </c>
      <c r="C301" s="27">
        <v>1.8311400000000001E-4</v>
      </c>
      <c r="D301" s="27" t="s">
        <v>50</v>
      </c>
    </row>
    <row r="302" spans="1:4" x14ac:dyDescent="0.2">
      <c r="A302" s="13" t="s">
        <v>29</v>
      </c>
      <c r="B302" s="27">
        <v>2166.666667</v>
      </c>
      <c r="C302" s="27">
        <v>1.8946999999999999E-4</v>
      </c>
      <c r="D302" s="27" t="s">
        <v>50</v>
      </c>
    </row>
    <row r="303" spans="1:4" x14ac:dyDescent="0.2">
      <c r="A303" s="13" t="s">
        <v>29</v>
      </c>
      <c r="B303" s="27">
        <v>2166.666667</v>
      </c>
      <c r="C303" s="27">
        <v>1.97235E-4</v>
      </c>
      <c r="D303" s="27" t="s">
        <v>50</v>
      </c>
    </row>
    <row r="304" spans="1:4" x14ac:dyDescent="0.2">
      <c r="A304" s="13" t="s">
        <v>29</v>
      </c>
      <c r="B304" s="27">
        <v>2500</v>
      </c>
      <c r="C304" s="27">
        <v>1.9066999999999999E-4</v>
      </c>
      <c r="D304" s="27" t="s">
        <v>50</v>
      </c>
    </row>
    <row r="305" spans="1:4" x14ac:dyDescent="0.2">
      <c r="A305" s="13" t="s">
        <v>29</v>
      </c>
      <c r="B305" s="27">
        <v>2500</v>
      </c>
      <c r="C305" s="27">
        <v>1.94518E-4</v>
      </c>
      <c r="D305" s="27" t="s">
        <v>50</v>
      </c>
    </row>
    <row r="306" spans="1:4" x14ac:dyDescent="0.2">
      <c r="A306" s="13" t="s">
        <v>29</v>
      </c>
      <c r="B306" s="27">
        <v>2833.333333</v>
      </c>
      <c r="C306" s="27">
        <v>1.89867E-4</v>
      </c>
      <c r="D306" s="27" t="s">
        <v>50</v>
      </c>
    </row>
    <row r="307" spans="1:4" x14ac:dyDescent="0.2">
      <c r="A307" s="13" t="s">
        <v>29</v>
      </c>
      <c r="B307" s="27">
        <v>2833.333333</v>
      </c>
      <c r="C307" s="27">
        <v>1.8649500000000001E-4</v>
      </c>
      <c r="D307" s="27" t="s">
        <v>50</v>
      </c>
    </row>
    <row r="308" spans="1:4" x14ac:dyDescent="0.2">
      <c r="A308" s="13" t="s">
        <v>29</v>
      </c>
      <c r="B308" s="27">
        <v>3166.666667</v>
      </c>
      <c r="C308" s="27">
        <v>1.90046E-4</v>
      </c>
      <c r="D308" s="27" t="s">
        <v>50</v>
      </c>
    </row>
    <row r="309" spans="1:4" x14ac:dyDescent="0.2">
      <c r="A309" s="13" t="s">
        <v>29</v>
      </c>
      <c r="B309" s="27">
        <v>3166.666667</v>
      </c>
      <c r="C309" s="27">
        <v>1.91394E-4</v>
      </c>
      <c r="D309" s="27" t="s">
        <v>50</v>
      </c>
    </row>
    <row r="310" spans="1:4" x14ac:dyDescent="0.2">
      <c r="A310" s="13" t="s">
        <v>29</v>
      </c>
      <c r="B310" s="27">
        <v>3500</v>
      </c>
      <c r="C310" s="27">
        <v>1.9854399999999999E-4</v>
      </c>
      <c r="D310" s="27" t="s">
        <v>50</v>
      </c>
    </row>
    <row r="311" spans="1:4" x14ac:dyDescent="0.2">
      <c r="A311" s="13" t="s">
        <v>29</v>
      </c>
      <c r="B311" s="27">
        <v>3500</v>
      </c>
      <c r="C311" s="27">
        <v>1.8264799999999999E-4</v>
      </c>
      <c r="D311" s="27" t="s">
        <v>50</v>
      </c>
    </row>
    <row r="312" spans="1:4" x14ac:dyDescent="0.2">
      <c r="A312" s="13" t="s">
        <v>29</v>
      </c>
      <c r="B312" s="27">
        <v>3833.333333</v>
      </c>
      <c r="C312" s="27">
        <v>1.9013499999999999E-4</v>
      </c>
      <c r="D312" s="27" t="s">
        <v>50</v>
      </c>
    </row>
    <row r="313" spans="1:4" x14ac:dyDescent="0.2">
      <c r="A313" s="13" t="s">
        <v>29</v>
      </c>
      <c r="B313" s="27">
        <v>3833.333333</v>
      </c>
      <c r="C313" s="27">
        <v>1.92098E-4</v>
      </c>
      <c r="D313" s="27" t="s">
        <v>50</v>
      </c>
    </row>
    <row r="314" spans="1:4" x14ac:dyDescent="0.2">
      <c r="A314" s="13" t="s">
        <v>29</v>
      </c>
      <c r="B314" s="27">
        <v>4166.6666670000004</v>
      </c>
      <c r="C314" s="18">
        <v>9.0282600000000002E-5</v>
      </c>
      <c r="D314" s="27" t="s">
        <v>50</v>
      </c>
    </row>
    <row r="315" spans="1:4" x14ac:dyDescent="0.2">
      <c r="A315" s="13" t="s">
        <v>29</v>
      </c>
      <c r="B315" s="27">
        <v>4166.6666670000004</v>
      </c>
      <c r="C315" s="27">
        <v>1.83699E-4</v>
      </c>
      <c r="D315" s="27" t="s">
        <v>50</v>
      </c>
    </row>
    <row r="316" spans="1:4" x14ac:dyDescent="0.2">
      <c r="A316" s="13" t="s">
        <v>29</v>
      </c>
      <c r="B316" s="27">
        <v>0</v>
      </c>
      <c r="C316" s="27">
        <v>0</v>
      </c>
      <c r="D316" s="27" t="s">
        <v>54</v>
      </c>
    </row>
    <row r="317" spans="1:4" x14ac:dyDescent="0.2">
      <c r="A317" s="13" t="s">
        <v>29</v>
      </c>
      <c r="B317" s="27">
        <v>41.666666669999998</v>
      </c>
      <c r="C317" s="27">
        <v>0</v>
      </c>
      <c r="D317" s="27" t="s">
        <v>54</v>
      </c>
    </row>
    <row r="318" spans="1:4" x14ac:dyDescent="0.2">
      <c r="A318" s="13" t="s">
        <v>29</v>
      </c>
      <c r="B318" s="27">
        <v>83.333333330000002</v>
      </c>
      <c r="C318" s="27">
        <v>0</v>
      </c>
      <c r="D318" s="27" t="s">
        <v>54</v>
      </c>
    </row>
    <row r="319" spans="1:4" x14ac:dyDescent="0.2">
      <c r="A319" s="13" t="s">
        <v>29</v>
      </c>
      <c r="B319" s="27">
        <v>83.333333330000002</v>
      </c>
      <c r="C319" s="27">
        <v>0</v>
      </c>
      <c r="D319" s="27" t="s">
        <v>54</v>
      </c>
    </row>
    <row r="320" spans="1:4" x14ac:dyDescent="0.2">
      <c r="A320" s="13" t="s">
        <v>29</v>
      </c>
      <c r="B320" s="27">
        <v>125</v>
      </c>
      <c r="C320" s="18">
        <v>2.6661399999999998E-7</v>
      </c>
      <c r="D320" s="27" t="s">
        <v>54</v>
      </c>
    </row>
    <row r="321" spans="1:4" x14ac:dyDescent="0.2">
      <c r="A321" s="13" t="s">
        <v>29</v>
      </c>
      <c r="B321" s="27">
        <v>125</v>
      </c>
      <c r="C321" s="27">
        <v>0</v>
      </c>
      <c r="D321" s="27" t="s">
        <v>54</v>
      </c>
    </row>
    <row r="322" spans="1:4" x14ac:dyDescent="0.2">
      <c r="A322" s="13" t="s">
        <v>29</v>
      </c>
      <c r="B322" s="27">
        <v>166.66666670000001</v>
      </c>
      <c r="C322" s="18">
        <v>8.7162300000000005E-7</v>
      </c>
      <c r="D322" s="27" t="s">
        <v>54</v>
      </c>
    </row>
    <row r="323" spans="1:4" x14ac:dyDescent="0.2">
      <c r="A323" s="13" t="s">
        <v>29</v>
      </c>
      <c r="B323" s="27">
        <v>166.66666670000001</v>
      </c>
      <c r="C323" s="18">
        <v>1.9688399999999999E-6</v>
      </c>
      <c r="D323" s="27" t="s">
        <v>54</v>
      </c>
    </row>
    <row r="324" spans="1:4" x14ac:dyDescent="0.2">
      <c r="A324" s="13" t="s">
        <v>29</v>
      </c>
      <c r="B324" s="27">
        <v>250</v>
      </c>
      <c r="C324" s="18">
        <v>8.0189399999999998E-6</v>
      </c>
      <c r="D324" s="27" t="s">
        <v>54</v>
      </c>
    </row>
    <row r="325" spans="1:4" x14ac:dyDescent="0.2">
      <c r="A325" s="13" t="s">
        <v>29</v>
      </c>
      <c r="B325" s="27">
        <v>250</v>
      </c>
      <c r="C325" s="18">
        <v>9.5160800000000005E-6</v>
      </c>
      <c r="D325" s="27" t="s">
        <v>54</v>
      </c>
    </row>
    <row r="326" spans="1:4" x14ac:dyDescent="0.2">
      <c r="A326" s="13" t="s">
        <v>29</v>
      </c>
      <c r="B326" s="27">
        <v>333.33333329999999</v>
      </c>
      <c r="C326" s="18">
        <v>2.10113E-5</v>
      </c>
      <c r="D326" s="27" t="s">
        <v>54</v>
      </c>
    </row>
    <row r="327" spans="1:4" x14ac:dyDescent="0.2">
      <c r="A327" s="13" t="s">
        <v>29</v>
      </c>
      <c r="B327" s="27">
        <v>333.33333329999999</v>
      </c>
      <c r="C327" s="18">
        <v>2.4231099999999999E-5</v>
      </c>
      <c r="D327" s="27" t="s">
        <v>54</v>
      </c>
    </row>
    <row r="328" spans="1:4" x14ac:dyDescent="0.2">
      <c r="A328" s="13" t="s">
        <v>29</v>
      </c>
      <c r="B328" s="27">
        <v>416.66666670000001</v>
      </c>
      <c r="C328" s="18">
        <v>4.10894E-5</v>
      </c>
      <c r="D328" s="27" t="s">
        <v>54</v>
      </c>
    </row>
    <row r="329" spans="1:4" x14ac:dyDescent="0.2">
      <c r="A329" s="13" t="s">
        <v>29</v>
      </c>
      <c r="B329" s="27">
        <v>416.66666670000001</v>
      </c>
      <c r="C329" s="18">
        <v>4.0874000000000002E-5</v>
      </c>
      <c r="D329" s="27" t="s">
        <v>54</v>
      </c>
    </row>
    <row r="330" spans="1:4" x14ac:dyDescent="0.2">
      <c r="A330" s="13" t="s">
        <v>29</v>
      </c>
      <c r="B330" s="27">
        <v>500</v>
      </c>
      <c r="C330" s="18">
        <v>6.0357399999999999E-5</v>
      </c>
      <c r="D330" s="27" t="s">
        <v>54</v>
      </c>
    </row>
    <row r="331" spans="1:4" x14ac:dyDescent="0.2">
      <c r="A331" s="13" t="s">
        <v>29</v>
      </c>
      <c r="B331" s="27">
        <v>500</v>
      </c>
      <c r="C331" s="18">
        <v>6.1331499999999994E-5</v>
      </c>
      <c r="D331" s="27" t="s">
        <v>54</v>
      </c>
    </row>
    <row r="332" spans="1:4" x14ac:dyDescent="0.2">
      <c r="A332" s="13" t="s">
        <v>29</v>
      </c>
      <c r="B332" s="27">
        <v>583.33333330000005</v>
      </c>
      <c r="C332" s="18">
        <v>8.6136899999999999E-5</v>
      </c>
      <c r="D332" s="27" t="s">
        <v>54</v>
      </c>
    </row>
    <row r="333" spans="1:4" x14ac:dyDescent="0.2">
      <c r="A333" s="13" t="s">
        <v>29</v>
      </c>
      <c r="B333" s="27">
        <v>583.33333330000005</v>
      </c>
      <c r="C333" s="18">
        <v>8.9469599999999995E-5</v>
      </c>
      <c r="D333" s="27" t="s">
        <v>54</v>
      </c>
    </row>
    <row r="334" spans="1:4" x14ac:dyDescent="0.2">
      <c r="A334" s="13" t="s">
        <v>29</v>
      </c>
      <c r="B334" s="27">
        <v>666.66666669999995</v>
      </c>
      <c r="C334" s="27">
        <v>1.14213E-4</v>
      </c>
      <c r="D334" s="27" t="s">
        <v>54</v>
      </c>
    </row>
    <row r="335" spans="1:4" x14ac:dyDescent="0.2">
      <c r="A335" s="13" t="s">
        <v>29</v>
      </c>
      <c r="B335" s="27">
        <v>666.66666669999995</v>
      </c>
      <c r="C335" s="27">
        <v>1.1185500000000001E-4</v>
      </c>
      <c r="D335" s="27" t="s">
        <v>54</v>
      </c>
    </row>
    <row r="336" spans="1:4" x14ac:dyDescent="0.2">
      <c r="A336" s="13" t="s">
        <v>29</v>
      </c>
      <c r="B336" s="27">
        <v>833.33333330000005</v>
      </c>
      <c r="C336" s="27">
        <v>1.5366199999999999E-4</v>
      </c>
      <c r="D336" s="27" t="s">
        <v>54</v>
      </c>
    </row>
    <row r="337" spans="1:4" x14ac:dyDescent="0.2">
      <c r="A337" s="13" t="s">
        <v>29</v>
      </c>
      <c r="B337" s="27">
        <v>833.33333330000005</v>
      </c>
      <c r="C337" s="27">
        <v>1.8121599999999999E-4</v>
      </c>
      <c r="D337" s="27" t="s">
        <v>54</v>
      </c>
    </row>
    <row r="338" spans="1:4" x14ac:dyDescent="0.2">
      <c r="A338" s="13" t="s">
        <v>29</v>
      </c>
      <c r="B338" s="27">
        <v>1000</v>
      </c>
      <c r="C338" s="27">
        <v>2.15455E-4</v>
      </c>
      <c r="D338" s="27" t="s">
        <v>54</v>
      </c>
    </row>
    <row r="339" spans="1:4" x14ac:dyDescent="0.2">
      <c r="A339" s="13" t="s">
        <v>29</v>
      </c>
      <c r="B339" s="27">
        <v>1000</v>
      </c>
      <c r="C339" s="27">
        <v>2.19803E-4</v>
      </c>
      <c r="D339" s="27" t="s">
        <v>54</v>
      </c>
    </row>
    <row r="340" spans="1:4" x14ac:dyDescent="0.2">
      <c r="A340" s="13" t="s">
        <v>29</v>
      </c>
      <c r="B340" s="27">
        <v>1166.666667</v>
      </c>
      <c r="C340" s="27">
        <v>2.6263600000000001E-4</v>
      </c>
      <c r="D340" s="27" t="s">
        <v>54</v>
      </c>
    </row>
    <row r="341" spans="1:4" x14ac:dyDescent="0.2">
      <c r="A341" s="13" t="s">
        <v>29</v>
      </c>
      <c r="B341" s="27">
        <v>1166.666667</v>
      </c>
      <c r="C341" s="27">
        <v>3.0763200000000001E-4</v>
      </c>
      <c r="D341" s="27" t="s">
        <v>54</v>
      </c>
    </row>
    <row r="342" spans="1:4" x14ac:dyDescent="0.2">
      <c r="A342" s="13" t="s">
        <v>29</v>
      </c>
      <c r="B342" s="27">
        <v>1333.333333</v>
      </c>
      <c r="C342" s="27">
        <v>2.6971100000000001E-4</v>
      </c>
      <c r="D342" s="27" t="s">
        <v>54</v>
      </c>
    </row>
    <row r="343" spans="1:4" x14ac:dyDescent="0.2">
      <c r="A343" s="13" t="s">
        <v>29</v>
      </c>
      <c r="B343" s="27">
        <v>1333.333333</v>
      </c>
      <c r="C343" s="27">
        <v>2.9238400000000002E-4</v>
      </c>
      <c r="D343" s="27" t="s">
        <v>54</v>
      </c>
    </row>
    <row r="344" spans="1:4" x14ac:dyDescent="0.2">
      <c r="A344" s="13" t="s">
        <v>29</v>
      </c>
      <c r="B344" s="27">
        <v>1500</v>
      </c>
      <c r="C344" s="27">
        <v>3.0927299999999999E-4</v>
      </c>
      <c r="D344" s="27" t="s">
        <v>54</v>
      </c>
    </row>
    <row r="345" spans="1:4" x14ac:dyDescent="0.2">
      <c r="A345" s="13" t="s">
        <v>29</v>
      </c>
      <c r="B345" s="27">
        <v>1500</v>
      </c>
      <c r="C345" s="27">
        <v>3.1675799999999999E-4</v>
      </c>
      <c r="D345" s="27" t="s">
        <v>54</v>
      </c>
    </row>
    <row r="346" spans="1:4" x14ac:dyDescent="0.2">
      <c r="A346" s="13" t="s">
        <v>29</v>
      </c>
      <c r="B346" s="27">
        <v>1666.666667</v>
      </c>
      <c r="C346" s="27">
        <v>3.0420700000000002E-4</v>
      </c>
      <c r="D346" s="27" t="s">
        <v>54</v>
      </c>
    </row>
    <row r="347" spans="1:4" x14ac:dyDescent="0.2">
      <c r="A347" s="13" t="s">
        <v>29</v>
      </c>
      <c r="B347" s="27">
        <v>1666.666667</v>
      </c>
      <c r="C347" s="27">
        <v>3.0971299999999998E-4</v>
      </c>
      <c r="D347" s="27" t="s">
        <v>54</v>
      </c>
    </row>
    <row r="348" spans="1:4" x14ac:dyDescent="0.2">
      <c r="A348" s="13" t="s">
        <v>29</v>
      </c>
      <c r="B348" s="27">
        <v>1833.333333</v>
      </c>
      <c r="C348" s="27">
        <v>3.20091E-4</v>
      </c>
      <c r="D348" s="27" t="s">
        <v>54</v>
      </c>
    </row>
    <row r="349" spans="1:4" x14ac:dyDescent="0.2">
      <c r="A349" s="13" t="s">
        <v>29</v>
      </c>
      <c r="B349" s="27">
        <v>1833.333333</v>
      </c>
      <c r="C349" s="27">
        <v>3.0233000000000001E-4</v>
      </c>
      <c r="D349" s="27" t="s">
        <v>54</v>
      </c>
    </row>
    <row r="350" spans="1:4" x14ac:dyDescent="0.2">
      <c r="A350" s="13" t="s">
        <v>29</v>
      </c>
      <c r="B350" s="27">
        <v>2000</v>
      </c>
      <c r="C350" s="27">
        <v>3.23906E-4</v>
      </c>
      <c r="D350" s="27" t="s">
        <v>54</v>
      </c>
    </row>
    <row r="351" spans="1:4" x14ac:dyDescent="0.2">
      <c r="A351" s="13" t="s">
        <v>29</v>
      </c>
      <c r="B351" s="27">
        <v>2000</v>
      </c>
      <c r="C351" s="27">
        <v>2.8887699999999999E-4</v>
      </c>
      <c r="D351" s="27" t="s">
        <v>54</v>
      </c>
    </row>
    <row r="352" spans="1:4" x14ac:dyDescent="0.2">
      <c r="A352" s="13" t="s">
        <v>29</v>
      </c>
      <c r="B352" s="27">
        <v>2166.666667</v>
      </c>
      <c r="C352" s="27">
        <v>3.2475700000000001E-4</v>
      </c>
      <c r="D352" s="27" t="s">
        <v>54</v>
      </c>
    </row>
    <row r="353" spans="1:4" x14ac:dyDescent="0.2">
      <c r="A353" s="13" t="s">
        <v>29</v>
      </c>
      <c r="B353" s="27">
        <v>2166.666667</v>
      </c>
      <c r="C353" s="27">
        <v>3.4039500000000001E-4</v>
      </c>
      <c r="D353" s="27" t="s">
        <v>54</v>
      </c>
    </row>
    <row r="354" spans="1:4" x14ac:dyDescent="0.2">
      <c r="A354" s="13" t="s">
        <v>29</v>
      </c>
      <c r="B354" s="27">
        <v>2500</v>
      </c>
      <c r="C354" s="27">
        <v>3.0378600000000001E-4</v>
      </c>
      <c r="D354" s="27" t="s">
        <v>54</v>
      </c>
    </row>
    <row r="355" spans="1:4" x14ac:dyDescent="0.2">
      <c r="A355" s="13" t="s">
        <v>29</v>
      </c>
      <c r="B355" s="27">
        <v>2500</v>
      </c>
      <c r="C355" s="27">
        <v>3.2026500000000002E-4</v>
      </c>
      <c r="D355" s="27" t="s">
        <v>54</v>
      </c>
    </row>
    <row r="356" spans="1:4" x14ac:dyDescent="0.2">
      <c r="A356" s="13" t="s">
        <v>29</v>
      </c>
      <c r="B356" s="27">
        <v>2833.333333</v>
      </c>
      <c r="C356" s="27">
        <v>3.0859600000000001E-4</v>
      </c>
      <c r="D356" s="27" t="s">
        <v>54</v>
      </c>
    </row>
    <row r="357" spans="1:4" x14ac:dyDescent="0.2">
      <c r="A357" s="13" t="s">
        <v>29</v>
      </c>
      <c r="B357" s="27">
        <v>2833.333333</v>
      </c>
      <c r="C357" s="27">
        <v>3.2557700000000002E-4</v>
      </c>
      <c r="D357" s="27" t="s">
        <v>54</v>
      </c>
    </row>
    <row r="358" spans="1:4" x14ac:dyDescent="0.2">
      <c r="A358" s="13" t="s">
        <v>29</v>
      </c>
      <c r="B358" s="27">
        <v>3166.666667</v>
      </c>
      <c r="C358" s="27">
        <v>3.16686E-4</v>
      </c>
      <c r="D358" s="27" t="s">
        <v>54</v>
      </c>
    </row>
    <row r="359" spans="1:4" x14ac:dyDescent="0.2">
      <c r="A359" s="13" t="s">
        <v>29</v>
      </c>
      <c r="B359" s="27">
        <v>3166.666667</v>
      </c>
      <c r="C359" s="27">
        <v>3.0650399999999998E-4</v>
      </c>
      <c r="D359" s="27" t="s">
        <v>54</v>
      </c>
    </row>
    <row r="360" spans="1:4" x14ac:dyDescent="0.2">
      <c r="A360" s="13" t="s">
        <v>29</v>
      </c>
      <c r="B360" s="27">
        <v>3500</v>
      </c>
      <c r="C360" s="27">
        <v>3.1975299999999999E-4</v>
      </c>
      <c r="D360" s="27" t="s">
        <v>54</v>
      </c>
    </row>
    <row r="361" spans="1:4" x14ac:dyDescent="0.2">
      <c r="A361" s="13" t="s">
        <v>29</v>
      </c>
      <c r="B361" s="27">
        <v>3500</v>
      </c>
      <c r="C361" s="27">
        <v>3.00618E-4</v>
      </c>
      <c r="D361" s="27" t="s">
        <v>54</v>
      </c>
    </row>
    <row r="362" spans="1:4" x14ac:dyDescent="0.2">
      <c r="A362" s="13" t="s">
        <v>29</v>
      </c>
      <c r="B362" s="27">
        <v>3833.333333</v>
      </c>
      <c r="C362" s="27">
        <v>3.1287200000000001E-4</v>
      </c>
      <c r="D362" s="27" t="s">
        <v>54</v>
      </c>
    </row>
    <row r="363" spans="1:4" x14ac:dyDescent="0.2">
      <c r="A363" s="13" t="s">
        <v>29</v>
      </c>
      <c r="B363" s="27">
        <v>3833.333333</v>
      </c>
      <c r="C363" s="27">
        <v>3.16328E-4</v>
      </c>
      <c r="D363" s="27" t="s">
        <v>54</v>
      </c>
    </row>
    <row r="364" spans="1:4" x14ac:dyDescent="0.2">
      <c r="A364" s="13" t="s">
        <v>29</v>
      </c>
      <c r="B364" s="27">
        <v>4166.6666670000004</v>
      </c>
      <c r="C364" s="27">
        <v>1.52206E-4</v>
      </c>
      <c r="D364" s="27" t="s">
        <v>54</v>
      </c>
    </row>
    <row r="365" spans="1:4" x14ac:dyDescent="0.2">
      <c r="A365" s="13" t="s">
        <v>29</v>
      </c>
      <c r="B365" s="27">
        <v>4166.6666670000004</v>
      </c>
      <c r="C365" s="27">
        <v>2.9688499999999999E-4</v>
      </c>
      <c r="D365" s="27" t="s">
        <v>54</v>
      </c>
    </row>
    <row r="366" spans="1:4" x14ac:dyDescent="0.2">
      <c r="A366" s="46"/>
      <c r="B366" s="47"/>
      <c r="C366" s="48"/>
      <c r="D366" s="48"/>
    </row>
    <row r="367" spans="1:4" x14ac:dyDescent="0.2">
      <c r="A367" s="46"/>
      <c r="B367" s="47"/>
      <c r="C367" s="48"/>
      <c r="D367" s="48"/>
    </row>
    <row r="368" spans="1:4" x14ac:dyDescent="0.2">
      <c r="A368" s="46"/>
      <c r="B368" s="47"/>
      <c r="C368" s="48"/>
      <c r="D368" s="48"/>
    </row>
    <row r="369" spans="1:4" x14ac:dyDescent="0.2">
      <c r="A369" s="46"/>
      <c r="B369" s="47"/>
      <c r="C369" s="48"/>
      <c r="D369" s="48"/>
    </row>
    <row r="370" spans="1:4" x14ac:dyDescent="0.2">
      <c r="A370" s="46"/>
      <c r="B370" s="47"/>
      <c r="C370" s="48"/>
      <c r="D370" s="48"/>
    </row>
    <row r="371" spans="1:4" x14ac:dyDescent="0.2">
      <c r="A371" s="46"/>
      <c r="B371" s="47"/>
      <c r="C371" s="48"/>
      <c r="D371" s="48"/>
    </row>
    <row r="372" spans="1:4" x14ac:dyDescent="0.2">
      <c r="A372" s="46"/>
      <c r="B372" s="47"/>
      <c r="C372" s="48"/>
      <c r="D372" s="48"/>
    </row>
    <row r="373" spans="1:4" x14ac:dyDescent="0.2">
      <c r="A373" s="46"/>
      <c r="B373" s="47"/>
      <c r="C373" s="48"/>
      <c r="D373" s="48"/>
    </row>
    <row r="374" spans="1:4" x14ac:dyDescent="0.2">
      <c r="A374" s="46"/>
      <c r="B374" s="47"/>
      <c r="C374" s="48"/>
      <c r="D374" s="48"/>
    </row>
    <row r="375" spans="1:4" x14ac:dyDescent="0.2">
      <c r="A375" s="46"/>
      <c r="B375" s="47"/>
      <c r="C375" s="48"/>
      <c r="D375" s="48"/>
    </row>
    <row r="376" spans="1:4" x14ac:dyDescent="0.2">
      <c r="A376" s="46"/>
      <c r="B376" s="47"/>
      <c r="C376" s="48"/>
      <c r="D376" s="48"/>
    </row>
    <row r="377" spans="1:4" x14ac:dyDescent="0.2">
      <c r="A377" s="46"/>
      <c r="B377" s="47"/>
      <c r="C377" s="48"/>
      <c r="D377" s="48"/>
    </row>
    <row r="378" spans="1:4" x14ac:dyDescent="0.2">
      <c r="A378" s="46"/>
      <c r="B378" s="47"/>
      <c r="C378" s="48"/>
      <c r="D378" s="48"/>
    </row>
    <row r="379" spans="1:4" x14ac:dyDescent="0.2">
      <c r="A379" s="46"/>
      <c r="B379" s="47"/>
      <c r="C379" s="48"/>
      <c r="D379" s="48"/>
    </row>
    <row r="380" spans="1:4" x14ac:dyDescent="0.2">
      <c r="A380" s="46"/>
      <c r="B380" s="47"/>
      <c r="C380" s="48"/>
      <c r="D380" s="48"/>
    </row>
    <row r="381" spans="1:4" x14ac:dyDescent="0.2">
      <c r="A381" s="46"/>
      <c r="B381" s="47"/>
      <c r="C381" s="48"/>
      <c r="D381" s="48"/>
    </row>
    <row r="382" spans="1:4" x14ac:dyDescent="0.2">
      <c r="A382" s="46"/>
      <c r="B382" s="47"/>
      <c r="C382" s="48"/>
      <c r="D382" s="48"/>
    </row>
    <row r="383" spans="1:4" x14ac:dyDescent="0.2">
      <c r="A383" s="46"/>
      <c r="B383" s="47"/>
      <c r="C383" s="48"/>
      <c r="D383" s="48"/>
    </row>
    <row r="384" spans="1:4" x14ac:dyDescent="0.2">
      <c r="A384" s="46"/>
      <c r="B384" s="47"/>
      <c r="C384" s="48"/>
      <c r="D384" s="48"/>
    </row>
    <row r="385" spans="1:4" x14ac:dyDescent="0.2">
      <c r="A385" s="46"/>
      <c r="B385" s="47"/>
      <c r="C385" s="48"/>
      <c r="D385" s="48"/>
    </row>
    <row r="386" spans="1:4" x14ac:dyDescent="0.2">
      <c r="A386" s="46"/>
      <c r="B386" s="47"/>
      <c r="C386" s="48"/>
      <c r="D386" s="48"/>
    </row>
    <row r="387" spans="1:4" x14ac:dyDescent="0.2">
      <c r="A387" s="46"/>
      <c r="B387" s="47"/>
      <c r="C387" s="48"/>
      <c r="D387" s="48"/>
    </row>
    <row r="388" spans="1:4" x14ac:dyDescent="0.2">
      <c r="A388" s="46"/>
      <c r="B388" s="47"/>
      <c r="C388" s="48"/>
      <c r="D388" s="48"/>
    </row>
    <row r="389" spans="1:4" x14ac:dyDescent="0.2">
      <c r="A389" s="46"/>
      <c r="B389" s="47"/>
      <c r="C389" s="48"/>
      <c r="D389" s="48"/>
    </row>
    <row r="390" spans="1:4" x14ac:dyDescent="0.2">
      <c r="A390" s="46"/>
      <c r="B390" s="47"/>
      <c r="C390" s="48"/>
      <c r="D390" s="48"/>
    </row>
    <row r="391" spans="1:4" x14ac:dyDescent="0.2">
      <c r="A391" s="46"/>
      <c r="B391" s="47"/>
      <c r="C391" s="48"/>
      <c r="D391" s="48"/>
    </row>
    <row r="392" spans="1:4" x14ac:dyDescent="0.2">
      <c r="A392" s="46"/>
      <c r="B392" s="47"/>
      <c r="C392" s="48"/>
      <c r="D392" s="49"/>
    </row>
    <row r="393" spans="1:4" x14ac:dyDescent="0.2">
      <c r="A393" s="46"/>
      <c r="B393" s="47"/>
      <c r="C393" s="48"/>
      <c r="D393" s="49"/>
    </row>
    <row r="394" spans="1:4" x14ac:dyDescent="0.2">
      <c r="A394" s="46"/>
      <c r="B394" s="47"/>
      <c r="C394" s="49"/>
      <c r="D394" s="49"/>
    </row>
    <row r="395" spans="1:4" x14ac:dyDescent="0.2">
      <c r="A395" s="46"/>
      <c r="B395" s="47"/>
      <c r="C395" s="49"/>
      <c r="D395" s="49"/>
    </row>
    <row r="396" spans="1:4" x14ac:dyDescent="0.2">
      <c r="A396" s="46"/>
      <c r="B396" s="47"/>
      <c r="C396" s="49"/>
      <c r="D396" s="49"/>
    </row>
    <row r="397" spans="1:4" x14ac:dyDescent="0.2">
      <c r="A397" s="46"/>
      <c r="B397" s="47"/>
      <c r="C397" s="49"/>
      <c r="D397" s="49"/>
    </row>
    <row r="398" spans="1:4" x14ac:dyDescent="0.2">
      <c r="A398" s="46"/>
      <c r="B398" s="47"/>
      <c r="C398" s="49"/>
      <c r="D398" s="49"/>
    </row>
    <row r="399" spans="1:4" x14ac:dyDescent="0.2">
      <c r="A399" s="46"/>
      <c r="B399" s="47"/>
      <c r="C399" s="49"/>
      <c r="D399" s="49"/>
    </row>
    <row r="400" spans="1:4" x14ac:dyDescent="0.2">
      <c r="A400" s="46"/>
      <c r="B400" s="47"/>
      <c r="C400" s="49"/>
      <c r="D400" s="49"/>
    </row>
    <row r="401" spans="1:4" x14ac:dyDescent="0.2">
      <c r="A401" s="46"/>
      <c r="B401" s="47"/>
      <c r="C401" s="49"/>
      <c r="D401" s="49"/>
    </row>
    <row r="402" spans="1:4" x14ac:dyDescent="0.2">
      <c r="A402" s="46"/>
      <c r="B402" s="47"/>
      <c r="C402" s="49"/>
      <c r="D402" s="49"/>
    </row>
    <row r="403" spans="1:4" x14ac:dyDescent="0.2">
      <c r="A403" s="46"/>
      <c r="B403" s="47"/>
      <c r="C403" s="49"/>
      <c r="D403" s="49"/>
    </row>
    <row r="404" spans="1:4" x14ac:dyDescent="0.2">
      <c r="A404" s="46"/>
      <c r="B404" s="47"/>
      <c r="C404" s="49"/>
      <c r="D404" s="49"/>
    </row>
    <row r="405" spans="1:4" x14ac:dyDescent="0.2">
      <c r="A405" s="46"/>
      <c r="B405" s="47"/>
      <c r="C405" s="49"/>
      <c r="D405" s="49"/>
    </row>
    <row r="406" spans="1:4" x14ac:dyDescent="0.2">
      <c r="A406" s="46"/>
      <c r="B406" s="47"/>
      <c r="C406" s="49"/>
      <c r="D406" s="49"/>
    </row>
    <row r="407" spans="1:4" x14ac:dyDescent="0.2">
      <c r="A407" s="46"/>
      <c r="B407" s="47"/>
      <c r="C407" s="49"/>
      <c r="D407" s="49"/>
    </row>
    <row r="408" spans="1:4" x14ac:dyDescent="0.2">
      <c r="A408" s="46"/>
      <c r="B408" s="47"/>
      <c r="C408" s="49"/>
      <c r="D408" s="49"/>
    </row>
    <row r="409" spans="1:4" x14ac:dyDescent="0.2">
      <c r="A409" s="46"/>
      <c r="B409" s="47"/>
      <c r="C409" s="49"/>
      <c r="D409" s="49"/>
    </row>
    <row r="410" spans="1:4" x14ac:dyDescent="0.2">
      <c r="A410" s="46"/>
      <c r="B410" s="47"/>
      <c r="C410" s="49"/>
      <c r="D410" s="49"/>
    </row>
    <row r="411" spans="1:4" x14ac:dyDescent="0.2">
      <c r="A411" s="46"/>
      <c r="B411" s="47"/>
      <c r="C411" s="49"/>
      <c r="D411" s="49"/>
    </row>
    <row r="412" spans="1:4" x14ac:dyDescent="0.2">
      <c r="A412" s="46"/>
      <c r="B412" s="47"/>
      <c r="C412" s="49"/>
      <c r="D412" s="49"/>
    </row>
    <row r="413" spans="1:4" x14ac:dyDescent="0.2">
      <c r="A413" s="46"/>
      <c r="B413" s="47"/>
      <c r="C413" s="49"/>
      <c r="D413" s="49"/>
    </row>
    <row r="414" spans="1:4" x14ac:dyDescent="0.2">
      <c r="A414" s="46"/>
      <c r="B414" s="47"/>
      <c r="C414" s="49"/>
      <c r="D414" s="49"/>
    </row>
    <row r="415" spans="1:4" x14ac:dyDescent="0.2">
      <c r="A415" s="46"/>
      <c r="B415" s="47"/>
      <c r="C415" s="49"/>
      <c r="D415" s="49"/>
    </row>
    <row r="416" spans="1:4" x14ac:dyDescent="0.2">
      <c r="A416" s="46"/>
      <c r="B416" s="47"/>
      <c r="C416" s="49"/>
      <c r="D416" s="49"/>
    </row>
    <row r="417" spans="1:4" x14ac:dyDescent="0.2">
      <c r="A417" s="46"/>
      <c r="B417" s="47"/>
      <c r="C417" s="49"/>
      <c r="D417" s="49"/>
    </row>
    <row r="418" spans="1:4" x14ac:dyDescent="0.2">
      <c r="A418" s="46"/>
      <c r="B418" s="47"/>
      <c r="C418" s="49"/>
      <c r="D418" s="49"/>
    </row>
    <row r="419" spans="1:4" x14ac:dyDescent="0.2">
      <c r="A419" s="46"/>
      <c r="B419" s="47"/>
      <c r="C419" s="49"/>
      <c r="D419" s="49"/>
    </row>
    <row r="420" spans="1:4" x14ac:dyDescent="0.2">
      <c r="A420" s="46"/>
      <c r="B420" s="47"/>
      <c r="C420" s="49"/>
      <c r="D420" s="49"/>
    </row>
    <row r="421" spans="1:4" x14ac:dyDescent="0.2">
      <c r="A421" s="46"/>
      <c r="B421" s="47"/>
      <c r="C421" s="49"/>
      <c r="D421" s="49"/>
    </row>
    <row r="422" spans="1:4" x14ac:dyDescent="0.2">
      <c r="A422" s="46"/>
      <c r="B422" s="47"/>
      <c r="C422" s="49"/>
      <c r="D422" s="49"/>
    </row>
    <row r="423" spans="1:4" x14ac:dyDescent="0.2">
      <c r="A423" s="46"/>
      <c r="B423" s="47"/>
      <c r="C423" s="49"/>
      <c r="D423" s="49"/>
    </row>
    <row r="424" spans="1:4" x14ac:dyDescent="0.2">
      <c r="A424" s="46"/>
      <c r="B424" s="47"/>
      <c r="C424" s="49"/>
      <c r="D424" s="49"/>
    </row>
    <row r="425" spans="1:4" x14ac:dyDescent="0.2">
      <c r="A425" s="46"/>
      <c r="B425" s="47"/>
      <c r="C425" s="49"/>
      <c r="D425" s="49"/>
    </row>
    <row r="426" spans="1:4" x14ac:dyDescent="0.2">
      <c r="A426" s="46"/>
      <c r="B426" s="47"/>
      <c r="C426" s="49"/>
      <c r="D426" s="49"/>
    </row>
    <row r="427" spans="1:4" x14ac:dyDescent="0.2">
      <c r="A427" s="46"/>
      <c r="B427" s="47"/>
      <c r="C427" s="49"/>
      <c r="D427" s="49"/>
    </row>
    <row r="428" spans="1:4" x14ac:dyDescent="0.2">
      <c r="A428" s="46"/>
      <c r="B428" s="47"/>
      <c r="C428" s="49"/>
      <c r="D428" s="49"/>
    </row>
    <row r="429" spans="1:4" x14ac:dyDescent="0.2">
      <c r="A429" s="46"/>
      <c r="B429" s="47"/>
      <c r="C429" s="49"/>
      <c r="D429" s="49"/>
    </row>
    <row r="430" spans="1:4" x14ac:dyDescent="0.2">
      <c r="A430" s="46"/>
      <c r="B430" s="47"/>
      <c r="C430" s="49"/>
      <c r="D430" s="49"/>
    </row>
    <row r="431" spans="1:4" x14ac:dyDescent="0.2">
      <c r="A431" s="46"/>
      <c r="B431" s="47"/>
      <c r="C431" s="49"/>
      <c r="D431" s="49"/>
    </row>
    <row r="432" spans="1:4" x14ac:dyDescent="0.2">
      <c r="A432" s="46"/>
      <c r="B432" s="47"/>
      <c r="C432" s="49"/>
      <c r="D432" s="49"/>
    </row>
    <row r="433" spans="1:4" x14ac:dyDescent="0.2">
      <c r="A433" s="46"/>
      <c r="B433" s="47"/>
      <c r="C433" s="49"/>
      <c r="D433" s="49"/>
    </row>
    <row r="434" spans="1:4" x14ac:dyDescent="0.2">
      <c r="A434" s="46"/>
      <c r="B434" s="47"/>
      <c r="C434" s="49"/>
      <c r="D434" s="49"/>
    </row>
    <row r="435" spans="1:4" x14ac:dyDescent="0.2">
      <c r="A435" s="46"/>
      <c r="B435" s="47"/>
      <c r="C435" s="49"/>
      <c r="D435" s="49"/>
    </row>
    <row r="436" spans="1:4" x14ac:dyDescent="0.2">
      <c r="A436" s="46"/>
      <c r="B436" s="47"/>
      <c r="C436" s="49"/>
      <c r="D436" s="49"/>
    </row>
    <row r="437" spans="1:4" x14ac:dyDescent="0.2">
      <c r="A437" s="46"/>
      <c r="B437" s="47"/>
      <c r="C437" s="49"/>
      <c r="D437" s="49"/>
    </row>
    <row r="438" spans="1:4" x14ac:dyDescent="0.2">
      <c r="A438" s="46"/>
      <c r="B438" s="47"/>
      <c r="C438" s="49"/>
      <c r="D438" s="4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2430A-F5C4-164D-9D51-69EB59FED88C}">
  <dimension ref="A1:AA49"/>
  <sheetViews>
    <sheetView zoomScale="125" workbookViewId="0">
      <selection activeCell="B1" sqref="B1"/>
    </sheetView>
    <sheetView workbookViewId="1">
      <selection activeCell="G6" sqref="G6"/>
    </sheetView>
  </sheetViews>
  <sheetFormatPr baseColWidth="10" defaultRowHeight="15" x14ac:dyDescent="0.2"/>
  <cols>
    <col min="1" max="1" width="13" bestFit="1" customWidth="1"/>
    <col min="2" max="2" width="8.6640625" bestFit="1" customWidth="1"/>
    <col min="3" max="3" width="13.33203125" customWidth="1"/>
    <col min="4" max="4" width="12.1640625" bestFit="1" customWidth="1"/>
    <col min="7" max="7" width="13.1640625" bestFit="1" customWidth="1"/>
    <col min="10" max="10" width="13.83203125" bestFit="1" customWidth="1"/>
  </cols>
  <sheetData>
    <row r="1" spans="1:27" ht="16" x14ac:dyDescent="0.2">
      <c r="A1" s="14" t="s">
        <v>71</v>
      </c>
      <c r="B1" s="14" t="s">
        <v>99</v>
      </c>
      <c r="C1" s="14" t="s">
        <v>72</v>
      </c>
      <c r="D1" s="41" t="s">
        <v>73</v>
      </c>
      <c r="E1" s="14" t="s">
        <v>74</v>
      </c>
      <c r="J1" s="13" t="s">
        <v>75</v>
      </c>
      <c r="K1" s="13"/>
      <c r="L1" s="13" t="s">
        <v>76</v>
      </c>
    </row>
    <row r="2" spans="1:27" x14ac:dyDescent="0.2">
      <c r="A2" s="35" t="s">
        <v>77</v>
      </c>
      <c r="B2" s="36">
        <v>7.0999999999999994E-2</v>
      </c>
      <c r="C2" s="36">
        <v>2.7044799999999999E-7</v>
      </c>
      <c r="D2" s="42">
        <v>2.7044799999999999E-5</v>
      </c>
      <c r="E2" s="35">
        <v>18.63</v>
      </c>
      <c r="J2" s="13" t="s">
        <v>78</v>
      </c>
      <c r="K2" s="17">
        <v>7.0000000000000001E-3</v>
      </c>
      <c r="L2" s="13" t="s">
        <v>16</v>
      </c>
    </row>
    <row r="3" spans="1:27" x14ac:dyDescent="0.2">
      <c r="A3" s="35" t="s">
        <v>79</v>
      </c>
      <c r="B3" s="36">
        <v>7.9200000000000007E-2</v>
      </c>
      <c r="C3" s="36">
        <v>3.01393E-7</v>
      </c>
      <c r="D3" s="42">
        <v>3.0139300000000001E-5</v>
      </c>
      <c r="E3" s="37">
        <v>15.5</v>
      </c>
      <c r="J3" s="13" t="s">
        <v>80</v>
      </c>
      <c r="K3" s="13">
        <v>0.93</v>
      </c>
      <c r="L3" s="13" t="s">
        <v>81</v>
      </c>
    </row>
    <row r="4" spans="1:27" x14ac:dyDescent="0.2">
      <c r="A4" s="35" t="s">
        <v>82</v>
      </c>
      <c r="B4" s="36">
        <v>5.0500000000000003E-2</v>
      </c>
      <c r="C4" s="36">
        <v>1.92096E-7</v>
      </c>
      <c r="D4" s="42">
        <v>1.92096E-5</v>
      </c>
      <c r="E4" s="37">
        <v>33.299999999999997</v>
      </c>
      <c r="J4" s="13" t="s">
        <v>83</v>
      </c>
      <c r="K4" s="13">
        <v>1785</v>
      </c>
      <c r="L4" s="13" t="s">
        <v>81</v>
      </c>
    </row>
    <row r="5" spans="1:27" ht="16" x14ac:dyDescent="0.2">
      <c r="A5" s="35" t="s">
        <v>84</v>
      </c>
      <c r="B5" s="36">
        <v>5.1700000000000003E-2</v>
      </c>
      <c r="C5" s="36">
        <v>1.9665500000000001E-7</v>
      </c>
      <c r="D5" s="42">
        <v>1.96655E-5</v>
      </c>
      <c r="E5" s="37">
        <v>32</v>
      </c>
      <c r="J5" s="13" t="s">
        <v>85</v>
      </c>
      <c r="K5" s="20">
        <v>0.89</v>
      </c>
      <c r="L5" s="13" t="s">
        <v>86</v>
      </c>
    </row>
    <row r="6" spans="1:27" x14ac:dyDescent="0.2">
      <c r="A6" s="37" t="s">
        <v>42</v>
      </c>
      <c r="B6" s="36">
        <v>2.2800000000000001E-2</v>
      </c>
      <c r="C6" s="36">
        <v>8.6914499999999994E-8</v>
      </c>
      <c r="D6" s="42">
        <v>8.6914499999999996E-6</v>
      </c>
      <c r="E6" s="30">
        <v>128</v>
      </c>
      <c r="J6" s="13" t="s">
        <v>87</v>
      </c>
      <c r="K6" s="16">
        <v>1.2129208640000001E-4</v>
      </c>
      <c r="L6" s="13" t="s">
        <v>100</v>
      </c>
    </row>
    <row r="7" spans="1:27" x14ac:dyDescent="0.2">
      <c r="A7" s="37" t="s">
        <v>43</v>
      </c>
      <c r="B7" s="36">
        <v>2.0400000000000001E-2</v>
      </c>
      <c r="C7" s="36">
        <v>7.7648600000000001E-8</v>
      </c>
      <c r="D7" s="42">
        <v>7.7648599999999997E-6</v>
      </c>
      <c r="E7" s="30">
        <v>155</v>
      </c>
      <c r="J7" s="13" t="s">
        <v>88</v>
      </c>
      <c r="K7" s="13">
        <v>0.38100000000000001</v>
      </c>
      <c r="L7" s="13" t="s">
        <v>89</v>
      </c>
    </row>
    <row r="8" spans="1:27" x14ac:dyDescent="0.2">
      <c r="A8" s="37" t="s">
        <v>44</v>
      </c>
      <c r="B8" s="36">
        <v>1.8599999999999998E-2</v>
      </c>
      <c r="C8" s="36">
        <v>7.0641000000000004E-8</v>
      </c>
      <c r="D8" s="42">
        <v>7.0640999999999998E-6</v>
      </c>
      <c r="E8" s="30">
        <v>182</v>
      </c>
      <c r="J8" s="13" t="s">
        <v>90</v>
      </c>
      <c r="K8" s="13">
        <v>25</v>
      </c>
      <c r="L8" s="13" t="s">
        <v>91</v>
      </c>
    </row>
    <row r="9" spans="1:27" x14ac:dyDescent="0.2">
      <c r="A9" s="37" t="s">
        <v>45</v>
      </c>
      <c r="B9" s="36">
        <v>1.7100000000000001E-2</v>
      </c>
      <c r="C9" s="36">
        <v>6.4930899999999995E-8</v>
      </c>
      <c r="D9" s="42">
        <v>6.4930899999999999E-6</v>
      </c>
      <c r="E9" s="30">
        <v>210</v>
      </c>
      <c r="J9" s="16" t="s">
        <v>92</v>
      </c>
      <c r="K9" s="16">
        <v>1</v>
      </c>
      <c r="L9" s="13"/>
    </row>
    <row r="10" spans="1:27" x14ac:dyDescent="0.2">
      <c r="A10" s="37" t="s">
        <v>46</v>
      </c>
      <c r="B10" s="36">
        <v>1.5900000000000001E-2</v>
      </c>
      <c r="C10" s="36">
        <v>6.0466099999999999E-8</v>
      </c>
      <c r="D10" s="42">
        <v>6.0466099999999997E-6</v>
      </c>
      <c r="E10" s="30">
        <v>237</v>
      </c>
      <c r="J10" s="16" t="s">
        <v>93</v>
      </c>
      <c r="K10" s="16">
        <v>1.5</v>
      </c>
      <c r="L10" s="13"/>
      <c r="Y10" s="21"/>
      <c r="Z10" s="21"/>
      <c r="AA10" s="22"/>
    </row>
    <row r="11" spans="1:27" x14ac:dyDescent="0.2">
      <c r="A11" s="37" t="s">
        <v>47</v>
      </c>
      <c r="B11" s="36">
        <v>1.49E-2</v>
      </c>
      <c r="C11" s="36">
        <v>5.6616999999999997E-8</v>
      </c>
      <c r="D11" s="42">
        <v>5.6617000000000004E-6</v>
      </c>
      <c r="E11" s="30">
        <v>265</v>
      </c>
      <c r="J11" s="16" t="s">
        <v>94</v>
      </c>
      <c r="K11" s="16">
        <v>0.38100000000000001</v>
      </c>
      <c r="L11" s="13"/>
      <c r="Y11" s="23"/>
      <c r="Z11" s="24"/>
      <c r="AA11" s="24"/>
    </row>
    <row r="12" spans="1:27" x14ac:dyDescent="0.2">
      <c r="A12" s="37" t="s">
        <v>48</v>
      </c>
      <c r="B12" s="36">
        <v>1.4E-2</v>
      </c>
      <c r="C12" s="36">
        <v>5.3472200000000002E-8</v>
      </c>
      <c r="D12" s="42">
        <v>5.3472199999999999E-6</v>
      </c>
      <c r="E12" s="30">
        <v>292</v>
      </c>
      <c r="J12" s="16" t="s">
        <v>95</v>
      </c>
      <c r="K12" s="16">
        <v>1.05</v>
      </c>
      <c r="L12" s="13"/>
      <c r="Y12" s="23"/>
      <c r="Z12" s="24"/>
      <c r="AA12" s="24"/>
    </row>
    <row r="13" spans="1:27" x14ac:dyDescent="0.2">
      <c r="A13" s="37" t="s">
        <v>49</v>
      </c>
      <c r="B13" s="36">
        <v>2.5499999999999998E-2</v>
      </c>
      <c r="C13" s="36">
        <v>9.7125599999999997E-8</v>
      </c>
      <c r="D13" s="36">
        <v>9.7125599999999997E-6</v>
      </c>
      <c r="E13" s="43">
        <v>106</v>
      </c>
      <c r="J13" s="16" t="s">
        <v>96</v>
      </c>
      <c r="K13" s="16">
        <v>1.6962843299999999</v>
      </c>
      <c r="L13" s="13"/>
      <c r="Y13" s="23"/>
      <c r="Z13" s="24"/>
      <c r="AA13" s="24"/>
    </row>
    <row r="14" spans="1:27" x14ac:dyDescent="0.2">
      <c r="A14" s="37" t="s">
        <v>50</v>
      </c>
      <c r="B14" s="36">
        <v>2.2200000000000001E-2</v>
      </c>
      <c r="C14" s="36">
        <v>8.4600700000000001E-8</v>
      </c>
      <c r="D14" s="36">
        <v>8.4600700000000001E-6</v>
      </c>
      <c r="E14" s="30">
        <v>134</v>
      </c>
      <c r="Y14" s="23"/>
      <c r="Z14" s="24"/>
      <c r="AA14" s="24"/>
    </row>
    <row r="15" spans="1:27" x14ac:dyDescent="0.2">
      <c r="A15" s="37" t="s">
        <v>57</v>
      </c>
      <c r="B15" s="36">
        <v>1.8100000000000002E-2</v>
      </c>
      <c r="C15" s="36">
        <v>6.9088000000000003E-8</v>
      </c>
      <c r="D15" s="36">
        <v>6.9087999999999998E-6</v>
      </c>
      <c r="E15" s="30">
        <v>189</v>
      </c>
      <c r="Y15" s="23"/>
      <c r="Z15" s="24"/>
      <c r="AA15" s="24"/>
    </row>
    <row r="16" spans="1:27" x14ac:dyDescent="0.2">
      <c r="A16" s="37" t="s">
        <v>51</v>
      </c>
      <c r="B16" s="36">
        <v>1.9900000000000001E-2</v>
      </c>
      <c r="C16" s="36">
        <v>7.5654499999999998E-8</v>
      </c>
      <c r="D16" s="36">
        <v>7.5654499999999997E-6</v>
      </c>
      <c r="E16" s="30">
        <v>162</v>
      </c>
      <c r="Y16" s="23"/>
      <c r="Z16" s="24"/>
      <c r="AA16" s="24"/>
    </row>
    <row r="17" spans="1:27" x14ac:dyDescent="0.2">
      <c r="A17" s="37" t="s">
        <v>52</v>
      </c>
      <c r="B17" s="36">
        <v>1.67E-2</v>
      </c>
      <c r="C17" s="36">
        <v>6.3688999999999995E-8</v>
      </c>
      <c r="D17" s="36">
        <v>6.3689000000000001E-6</v>
      </c>
      <c r="E17" s="30">
        <v>217</v>
      </c>
      <c r="Y17" s="23"/>
      <c r="Z17" s="24"/>
      <c r="AA17" s="24"/>
    </row>
    <row r="18" spans="1:27" x14ac:dyDescent="0.2">
      <c r="A18" s="37" t="s">
        <v>53</v>
      </c>
      <c r="B18" s="36">
        <v>1.46E-2</v>
      </c>
      <c r="C18" s="36">
        <v>5.5754200000000002E-8</v>
      </c>
      <c r="D18" s="36">
        <v>5.5754199999999997E-6</v>
      </c>
      <c r="E18" s="30">
        <v>272</v>
      </c>
      <c r="Y18" s="23"/>
      <c r="Z18" s="24"/>
      <c r="AA18" s="24"/>
    </row>
    <row r="19" spans="1:27" x14ac:dyDescent="0.2">
      <c r="A19" s="37" t="s">
        <v>54</v>
      </c>
      <c r="B19" s="36">
        <v>1.78E-2</v>
      </c>
      <c r="C19" s="36">
        <v>6.7827899999999998E-8</v>
      </c>
      <c r="D19" s="36">
        <v>6.7827899999999998E-6</v>
      </c>
      <c r="E19" s="30">
        <v>195</v>
      </c>
      <c r="Y19" s="23"/>
      <c r="Z19" s="24"/>
      <c r="AA19" s="24"/>
    </row>
    <row r="20" spans="1:27" x14ac:dyDescent="0.2">
      <c r="A20" s="37" t="s">
        <v>55</v>
      </c>
      <c r="B20" s="36">
        <v>1.54E-2</v>
      </c>
      <c r="C20" s="36">
        <v>5.8593900000000003E-8</v>
      </c>
      <c r="D20" s="36">
        <v>5.8593900000000003E-6</v>
      </c>
      <c r="E20" s="30">
        <v>250</v>
      </c>
      <c r="Y20" s="23"/>
      <c r="Z20" s="24"/>
      <c r="AA20" s="24"/>
    </row>
    <row r="21" spans="1:27" x14ac:dyDescent="0.2">
      <c r="A21" s="37" t="s">
        <v>56</v>
      </c>
      <c r="B21" s="36">
        <v>1.37E-2</v>
      </c>
      <c r="C21" s="36">
        <v>5.21178E-8</v>
      </c>
      <c r="D21" s="36">
        <v>5.2117800000000001E-6</v>
      </c>
      <c r="E21" s="30">
        <v>305</v>
      </c>
      <c r="Y21" s="23"/>
      <c r="Z21" s="24"/>
      <c r="AA21" s="24"/>
    </row>
    <row r="22" spans="1:27" x14ac:dyDescent="0.2">
      <c r="A22" s="37" t="s">
        <v>97</v>
      </c>
      <c r="B22" s="36">
        <v>1.5800000000000002E-2</v>
      </c>
      <c r="C22" s="36">
        <v>6.0019800000000007E-8</v>
      </c>
      <c r="D22" s="36">
        <v>6.0019799999999998E-6</v>
      </c>
      <c r="E22" s="30">
        <v>240</v>
      </c>
      <c r="Y22" s="23"/>
      <c r="Z22" s="24"/>
      <c r="AA22" s="24"/>
    </row>
    <row r="23" spans="1:27" x14ac:dyDescent="0.2">
      <c r="A23" s="37" t="s">
        <v>98</v>
      </c>
      <c r="B23" s="36">
        <v>1.5299999999999999E-2</v>
      </c>
      <c r="C23" s="36">
        <v>5.8319500000000002E-8</v>
      </c>
      <c r="D23" s="36">
        <v>5.8319500000000001E-6</v>
      </c>
      <c r="E23" s="30">
        <v>252</v>
      </c>
      <c r="Y23" s="23"/>
      <c r="Z23" s="24"/>
      <c r="AA23" s="24"/>
    </row>
    <row r="24" spans="1:27" x14ac:dyDescent="0.2">
      <c r="A24" s="23"/>
      <c r="B24" s="24"/>
      <c r="C24" s="24"/>
      <c r="Y24" s="23"/>
      <c r="Z24" s="24"/>
      <c r="AA24" s="24"/>
    </row>
    <row r="25" spans="1:27" x14ac:dyDescent="0.2">
      <c r="A25" s="23"/>
      <c r="B25" s="24"/>
      <c r="C25" s="24"/>
      <c r="Y25" s="23"/>
      <c r="Z25" s="24"/>
      <c r="AA25" s="24"/>
    </row>
    <row r="26" spans="1:27" x14ac:dyDescent="0.2">
      <c r="A26" s="23"/>
      <c r="B26" s="24"/>
      <c r="C26" s="24"/>
      <c r="Y26" s="23"/>
      <c r="Z26" s="24"/>
      <c r="AA26" s="24"/>
    </row>
    <row r="27" spans="1:27" x14ac:dyDescent="0.2">
      <c r="A27" s="23"/>
      <c r="B27" s="24"/>
      <c r="C27" s="24"/>
      <c r="Y27" s="23"/>
      <c r="Z27" s="24"/>
      <c r="AA27" s="24"/>
    </row>
    <row r="28" spans="1:27" x14ac:dyDescent="0.2">
      <c r="A28" s="23"/>
      <c r="B28" s="24"/>
      <c r="C28" s="24"/>
      <c r="Y28" s="23"/>
      <c r="Z28" s="24"/>
      <c r="AA28" s="24"/>
    </row>
    <row r="29" spans="1:27" x14ac:dyDescent="0.2">
      <c r="A29" s="23"/>
      <c r="B29" s="24"/>
      <c r="C29" s="24"/>
    </row>
    <row r="30" spans="1:27" x14ac:dyDescent="0.2">
      <c r="A30" s="23"/>
      <c r="B30" s="24"/>
      <c r="C30" s="24"/>
    </row>
    <row r="31" spans="1:27" x14ac:dyDescent="0.2">
      <c r="A31" s="23"/>
      <c r="B31" s="24"/>
      <c r="C31" s="24"/>
    </row>
    <row r="32" spans="1:27" x14ac:dyDescent="0.2">
      <c r="A32" s="23"/>
      <c r="B32" s="24"/>
      <c r="C32" s="24"/>
    </row>
    <row r="33" spans="1:25" x14ac:dyDescent="0.2">
      <c r="A33" s="23"/>
      <c r="B33" s="24"/>
      <c r="C33" s="24"/>
    </row>
    <row r="34" spans="1:25" x14ac:dyDescent="0.2">
      <c r="A34" s="23"/>
      <c r="B34" s="24"/>
      <c r="C34" s="24"/>
    </row>
    <row r="35" spans="1:25" x14ac:dyDescent="0.2">
      <c r="A35" s="40"/>
      <c r="B35" s="40"/>
      <c r="C35" s="40"/>
    </row>
    <row r="36" spans="1:25" x14ac:dyDescent="0.2">
      <c r="A36" s="40"/>
      <c r="B36" s="40"/>
      <c r="C36" s="24"/>
    </row>
    <row r="37" spans="1:25" x14ac:dyDescent="0.2">
      <c r="A37" s="40"/>
      <c r="B37" s="40"/>
      <c r="C37" s="24"/>
    </row>
    <row r="38" spans="1:25" x14ac:dyDescent="0.2">
      <c r="A38" s="40"/>
      <c r="B38" s="40"/>
      <c r="C38" s="24"/>
    </row>
    <row r="43" spans="1:25" x14ac:dyDescent="0.2">
      <c r="A43" s="6"/>
      <c r="B43" s="25"/>
      <c r="C43" s="25"/>
      <c r="D43" s="25"/>
      <c r="E43" s="25"/>
      <c r="F43" s="25"/>
      <c r="G43" s="25"/>
      <c r="H43" s="25"/>
      <c r="I43" s="25"/>
      <c r="J43" s="25"/>
      <c r="K43" s="25"/>
      <c r="L43" s="25"/>
      <c r="M43" s="25"/>
      <c r="N43" s="25"/>
      <c r="O43" s="25"/>
      <c r="P43" s="25"/>
      <c r="Q43" s="25"/>
      <c r="R43" s="25"/>
      <c r="S43" s="25"/>
      <c r="T43" s="25"/>
      <c r="U43" s="25"/>
      <c r="V43" s="25"/>
      <c r="W43" s="25"/>
      <c r="X43" s="25"/>
      <c r="Y43" s="25"/>
    </row>
    <row r="44" spans="1:25" x14ac:dyDescent="0.2">
      <c r="A44" s="6"/>
      <c r="B44" s="6"/>
      <c r="C44" s="6"/>
      <c r="D44" s="6"/>
      <c r="E44" s="6"/>
      <c r="F44" s="6"/>
      <c r="G44" s="6"/>
      <c r="H44" s="6"/>
      <c r="I44" s="6"/>
      <c r="J44" s="6"/>
      <c r="K44" s="6"/>
      <c r="L44" s="6"/>
      <c r="M44" s="6"/>
      <c r="N44" s="6"/>
      <c r="O44" s="6"/>
      <c r="P44" s="6"/>
      <c r="Q44" s="6"/>
      <c r="R44" s="6"/>
      <c r="S44" s="6"/>
      <c r="T44" s="6"/>
      <c r="U44" s="6"/>
      <c r="V44" s="6"/>
      <c r="W44" s="6"/>
      <c r="X44" s="10"/>
      <c r="Y44" s="6"/>
    </row>
    <row r="45" spans="1:25" x14ac:dyDescent="0.2">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x14ac:dyDescent="0.2">
      <c r="A46" s="6"/>
      <c r="B46" s="6"/>
      <c r="C46" s="6"/>
      <c r="D46" s="6"/>
      <c r="E46" s="6"/>
      <c r="F46" s="6"/>
      <c r="G46" s="6"/>
      <c r="H46" s="6"/>
      <c r="I46" s="6"/>
      <c r="J46" s="6"/>
      <c r="K46" s="6"/>
      <c r="L46" s="6"/>
      <c r="M46" s="6"/>
      <c r="N46" s="6"/>
      <c r="O46" s="6"/>
      <c r="P46" s="6"/>
      <c r="Q46" s="6"/>
      <c r="R46" s="6"/>
      <c r="S46" s="6"/>
      <c r="T46" s="6"/>
      <c r="U46" s="6"/>
      <c r="V46" s="6"/>
      <c r="W46" s="6"/>
      <c r="X46" s="6"/>
      <c r="Y46" s="6"/>
    </row>
    <row r="47" spans="1:25"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spans="1:25" x14ac:dyDescent="0.2">
      <c r="A48" s="6"/>
      <c r="B48" s="6"/>
      <c r="C48" s="6"/>
      <c r="D48" s="6"/>
      <c r="E48" s="6"/>
      <c r="F48" s="12"/>
      <c r="G48" s="12"/>
      <c r="H48" s="6"/>
      <c r="I48" s="6"/>
      <c r="J48" s="12"/>
      <c r="K48" s="6"/>
      <c r="L48" s="6"/>
      <c r="M48" s="12"/>
      <c r="N48" s="6"/>
      <c r="O48" s="6"/>
      <c r="P48" s="6"/>
      <c r="Q48" s="6"/>
      <c r="R48" s="12"/>
      <c r="S48" s="6"/>
      <c r="T48" s="6"/>
      <c r="U48" s="6"/>
      <c r="V48" s="6"/>
      <c r="W48" s="6"/>
      <c r="X48" s="6"/>
      <c r="Y48" s="6"/>
    </row>
    <row r="49" spans="1:25" x14ac:dyDescent="0.2">
      <c r="A49" s="6"/>
      <c r="B49" s="6"/>
      <c r="C49" s="6"/>
      <c r="D49" s="6"/>
      <c r="E49" s="6"/>
      <c r="F49" s="6"/>
      <c r="G49" s="6"/>
      <c r="H49" s="6"/>
      <c r="I49" s="6"/>
      <c r="J49" s="6"/>
      <c r="K49" s="6"/>
      <c r="L49" s="6"/>
      <c r="M49" s="6"/>
      <c r="N49" s="6"/>
      <c r="O49" s="6"/>
      <c r="P49" s="6"/>
      <c r="Q49" s="6"/>
      <c r="R49" s="6"/>
      <c r="S49" s="6"/>
      <c r="T49" s="6"/>
      <c r="U49" s="6"/>
      <c r="V49" s="6"/>
      <c r="W49" s="6"/>
      <c r="X49" s="6"/>
      <c r="Y49"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257DF-418B-48B7-8133-ABF04E7715B5}">
  <dimension ref="A1:B9"/>
  <sheetViews>
    <sheetView zoomScale="69" workbookViewId="0">
      <selection activeCell="B4" sqref="B4"/>
    </sheetView>
    <sheetView workbookViewId="1"/>
  </sheetViews>
  <sheetFormatPr baseColWidth="10" defaultColWidth="8.83203125" defaultRowHeight="31" x14ac:dyDescent="0.35"/>
  <cols>
    <col min="1" max="1" width="9.1640625" style="2"/>
    <col min="2" max="2" width="148" style="3" customWidth="1"/>
  </cols>
  <sheetData>
    <row r="1" spans="1:2" ht="32" x14ac:dyDescent="0.35">
      <c r="B1" s="4" t="s">
        <v>35</v>
      </c>
    </row>
    <row r="2" spans="1:2" ht="64" x14ac:dyDescent="0.35">
      <c r="A2" s="2">
        <v>1</v>
      </c>
      <c r="B2" s="3" t="s">
        <v>36</v>
      </c>
    </row>
    <row r="3" spans="1:2" ht="64" x14ac:dyDescent="0.35">
      <c r="A3" s="2">
        <v>2</v>
      </c>
      <c r="B3" s="3" t="s">
        <v>37</v>
      </c>
    </row>
    <row r="4" spans="1:2" ht="128" x14ac:dyDescent="0.35">
      <c r="A4" s="2">
        <v>3</v>
      </c>
      <c r="B4" s="3" t="s">
        <v>41</v>
      </c>
    </row>
    <row r="6" spans="1:2" ht="64" x14ac:dyDescent="0.35">
      <c r="A6" s="2">
        <v>4</v>
      </c>
      <c r="B6" s="3" t="s">
        <v>38</v>
      </c>
    </row>
    <row r="7" spans="1:2" ht="64" x14ac:dyDescent="0.35">
      <c r="A7" s="2">
        <v>5</v>
      </c>
      <c r="B7" s="3" t="s">
        <v>39</v>
      </c>
    </row>
    <row r="9" spans="1:2" ht="64" x14ac:dyDescent="0.35">
      <c r="A9" s="2">
        <v>6</v>
      </c>
      <c r="B9" s="3" t="s">
        <v>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AA3E377063FFE5489A04E78E6AF321F7" ma:contentTypeVersion="21" ma:contentTypeDescription="Create a new document." ma:contentTypeScope="" ma:versionID="0d56b0910c09b2f28088e837fc8a4b1f">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ca243fbf-11ff-4731-ae3b-9fc118f3bbf4" xmlns:ns7="d75150bc-12f9-4c92-a7eb-e71bcd8ee9be" targetNamespace="http://schemas.microsoft.com/office/2006/metadata/properties" ma:root="true" ma:fieldsID="c38d2d5698dbedce593845e142ad0a0f" ns1:_="" ns3:_="" ns4:_="" ns5:_="" ns6:_="" ns7:_="">
    <xsd:import namespace="http://schemas.microsoft.com/sharepoint/v3"/>
    <xsd:import namespace="4ffa91fb-a0ff-4ac5-b2db-65c790d184a4"/>
    <xsd:import namespace="http://schemas.microsoft.com/sharepoint.v3"/>
    <xsd:import namespace="http://schemas.microsoft.com/sharepoint/v3/fields"/>
    <xsd:import namespace="ca243fbf-11ff-4731-ae3b-9fc118f3bbf4"/>
    <xsd:import namespace="d75150bc-12f9-4c92-a7eb-e71bcd8ee9be"/>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6:SharedWithDetails" minOccurs="0"/>
                <xsd:element ref="ns6:SharingHintHash" minOccurs="0"/>
                <xsd:element ref="ns7:MediaServiceMetadata" minOccurs="0"/>
                <xsd:element ref="ns7:MediaServiceFastMetadata" minOccurs="0"/>
                <xsd:element ref="ns7:MediaServiceDateTaken" minOccurs="0"/>
                <xsd:element ref="ns7:MediaServiceAutoTags" minOccurs="0"/>
                <xsd:element ref="ns7:MediaServiceOCR" minOccurs="0"/>
                <xsd:element ref="ns6:Records_x0020_Status" minOccurs="0"/>
                <xsd:element ref="ns6:Records_x0020_Date" minOccurs="0"/>
                <xsd:element ref="ns7:MediaServiceEventHashCode" minOccurs="0"/>
                <xsd:element ref="ns7:MediaServiceGenerationTime" minOccurs="0"/>
                <xsd:element ref="ns7:MediaServiceAutoKeyPoints" minOccurs="0"/>
                <xsd:element ref="ns7: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60f3e050-a167-4ccb-81b0-6594d9f55f70}" ma:internalName="TaxCatchAllLabel" ma:readOnly="true" ma:showField="CatchAllDataLabel" ma:web="ca243fbf-11ff-4731-ae3b-9fc118f3bbf4">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60f3e050-a167-4ccb-81b0-6594d9f55f70}" ma:internalName="TaxCatchAll" ma:showField="CatchAllData" ma:web="ca243fbf-11ff-4731-ae3b-9fc118f3bbf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243fbf-11ff-4731-ae3b-9fc118f3bbf4"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description="" ma:internalName="SharedWithDetails" ma:readOnly="true">
      <xsd:simpleType>
        <xsd:restriction base="dms:Note">
          <xsd:maxLength value="255"/>
        </xsd:restriction>
      </xsd:simpleType>
    </xsd:element>
    <xsd:element name="SharingHintHash" ma:index="30" nillable="true" ma:displayName="Sharing Hint Hash" ma:description="" ma:internalName="SharingHintHash" ma:readOnly="true">
      <xsd:simpleType>
        <xsd:restriction base="dms:Text"/>
      </xsd:simpleType>
    </xsd:element>
    <xsd:element name="Records_x0020_Status" ma:index="36" nillable="true" ma:displayName="Records Status" ma:default="Pending" ma:internalName="Records_x0020_Status">
      <xsd:simpleType>
        <xsd:restriction base="dms:Text"/>
      </xsd:simpleType>
    </xsd:element>
    <xsd:element name="Records_x0020_Date" ma:index="37"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75150bc-12f9-4c92-a7eb-e71bcd8ee9be" elementFormDefault="qualified">
    <xsd:import namespace="http://schemas.microsoft.com/office/2006/documentManagement/types"/>
    <xsd:import namespace="http://schemas.microsoft.com/office/infopath/2007/PartnerControls"/>
    <xsd:element name="MediaServiceMetadata" ma:index="31" nillable="true" ma:displayName="MediaServiceMetadata" ma:description="" ma:hidden="true" ma:internalName="MediaServiceMetadata" ma:readOnly="true">
      <xsd:simpleType>
        <xsd:restriction base="dms:Note"/>
      </xsd:simpleType>
    </xsd:element>
    <xsd:element name="MediaServiceFastMetadata" ma:index="32" nillable="true" ma:displayName="MediaServiceFastMetadata" ma:description="" ma:hidden="true" ma:internalName="MediaServiceFastMetadata" ma:readOnly="true">
      <xsd:simpleType>
        <xsd:restriction base="dms:Note"/>
      </xsd:simpleType>
    </xsd:element>
    <xsd:element name="MediaServiceDateTaken" ma:index="33" nillable="true" ma:displayName="MediaServiceDateTaken" ma:description="" ma:hidden="true" ma:internalName="MediaServiceDateTaken" ma:readOnly="true">
      <xsd:simpleType>
        <xsd:restriction base="dms:Text"/>
      </xsd:simpleType>
    </xsd:element>
    <xsd:element name="MediaServiceAutoTags" ma:index="34" nillable="true" ma:displayName="MediaServiceAutoTags" ma:internalName="MediaServiceAutoTags" ma:readOnly="true">
      <xsd:simpleType>
        <xsd:restriction base="dms:Text"/>
      </xsd:simpleType>
    </xsd:element>
    <xsd:element name="MediaServiceOCR" ma:index="35" nillable="true" ma:displayName="MediaServiceOCR" ma:internalName="MediaServiceOCR" ma:readOnly="true">
      <xsd:simpleType>
        <xsd:restriction base="dms:Note">
          <xsd:maxLength value="255"/>
        </xsd:restriction>
      </xsd:simpleType>
    </xsd:element>
    <xsd:element name="MediaServiceEventHashCode" ma:index="38" nillable="true" ma:displayName="MediaServiceEventHashCode" ma:hidden="true" ma:internalName="MediaServiceEventHashCode" ma:readOnly="true">
      <xsd:simpleType>
        <xsd:restriction base="dms:Text"/>
      </xsd:simpleType>
    </xsd:element>
    <xsd:element name="MediaServiceGenerationTime" ma:index="39" nillable="true" ma:displayName="MediaServiceGenerationTime" ma:hidden="true" ma:internalName="MediaServiceGenerationTime" ma:readOnly="true">
      <xsd:simpleType>
        <xsd:restriction base="dms:Text"/>
      </xsd:simpleType>
    </xsd:element>
    <xsd:element name="MediaServiceAutoKeyPoints" ma:index="40" nillable="true" ma:displayName="MediaServiceAutoKeyPoints" ma:hidden="true" ma:internalName="MediaServiceAutoKeyPoints" ma:readOnly="true">
      <xsd:simpleType>
        <xsd:restriction base="dms:Note"/>
      </xsd:simpleType>
    </xsd:element>
    <xsd:element name="MediaServiceKeyPoints" ma:index="4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s_x0020_Date xmlns="ca243fbf-11ff-4731-ae3b-9fc118f3bbf4" xsi:nil="true"/>
    <Record xmlns="4ffa91fb-a0ff-4ac5-b2db-65c790d184a4">Shared</Record>
    <Rights xmlns="4ffa91fb-a0ff-4ac5-b2db-65c790d184a4" xsi:nil="true"/>
    <Records_x0020_Status xmlns="ca243fbf-11ff-4731-ae3b-9fc118f3bbf4">Pending</Records_x0020_Status>
    <Document_x0020_Creation_x0020_Date xmlns="4ffa91fb-a0ff-4ac5-b2db-65c790d184a4">2020-06-12T12:44:56+00:00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B79E98-5AD2-42D4-8617-624CBCC2A96C}">
  <ds:schemaRefs>
    <ds:schemaRef ds:uri="Microsoft.SharePoint.Taxonomy.ContentTypeSync"/>
  </ds:schemaRefs>
</ds:datastoreItem>
</file>

<file path=customXml/itemProps2.xml><?xml version="1.0" encoding="utf-8"?>
<ds:datastoreItem xmlns:ds="http://schemas.openxmlformats.org/officeDocument/2006/customXml" ds:itemID="{E0D265CA-67CD-4AD3-99A3-30810910E7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ca243fbf-11ff-4731-ae3b-9fc118f3bbf4"/>
    <ds:schemaRef ds:uri="d75150bc-12f9-4c92-a7eb-e71bcd8ee9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D2AB43-1478-4761-B6C2-35F0AE76DC6E}">
  <ds:schemaRefs>
    <ds:schemaRef ds:uri="http://purl.org/dc/elements/1.1/"/>
    <ds:schemaRef ds:uri="http://schemas.microsoft.com/office/2006/metadata/properties"/>
    <ds:schemaRef ds:uri="http://schemas.microsoft.com/office/infopath/2007/PartnerControls"/>
    <ds:schemaRef ds:uri="http://schemas.microsoft.com/sharepoint/v3"/>
    <ds:schemaRef ds:uri="http://schemas.openxmlformats.org/package/2006/metadata/core-properties"/>
    <ds:schemaRef ds:uri="http://purl.org/dc/terms/"/>
    <ds:schemaRef ds:uri="d75150bc-12f9-4c92-a7eb-e71bcd8ee9be"/>
    <ds:schemaRef ds:uri="ca243fbf-11ff-4731-ae3b-9fc118f3bbf4"/>
    <ds:schemaRef ds:uri="http://schemas.microsoft.com/office/2006/documentManagement/types"/>
    <ds:schemaRef ds:uri="http://schemas.microsoft.com/sharepoint/v3/fields"/>
    <ds:schemaRef ds:uri="http://schemas.microsoft.com/sharepoint.v3"/>
    <ds:schemaRef ds:uri="4ffa91fb-a0ff-4ac5-b2db-65c790d184a4"/>
    <ds:schemaRef ds:uri="http://www.w3.org/XML/1998/namespace"/>
    <ds:schemaRef ds:uri="http://purl.org/dc/dcmitype/"/>
  </ds:schemaRefs>
</ds:datastoreItem>
</file>

<file path=customXml/itemProps4.xml><?xml version="1.0" encoding="utf-8"?>
<ds:datastoreItem xmlns:ds="http://schemas.openxmlformats.org/officeDocument/2006/customXml" ds:itemID="{E301F64B-2E68-42FE-B72F-07064BA5C6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Properties</vt:lpstr>
      <vt:lpstr>Kdata</vt:lpstr>
      <vt:lpstr>columnSpecs</vt:lpstr>
      <vt:lpstr>data</vt:lpstr>
      <vt:lpstr>kf_val</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Burkhardt, Jonathan</dc:creator>
  <cp:lastModifiedBy>Mohammed Faran</cp:lastModifiedBy>
  <dcterms:created xsi:type="dcterms:W3CDTF">2020-06-12T12:40:36Z</dcterms:created>
  <dcterms:modified xsi:type="dcterms:W3CDTF">2026-05-05T19:32:55Z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0x010100AA3E377063FFE5489A04E78E6AF321F7</vt:lpwstr>
  </property>
</Properties>
</file>