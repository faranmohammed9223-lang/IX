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defaultThemeVersion="166925"/>
  <mc:AlternateContent xmlns:mc="http://schemas.openxmlformats.org/markup-compatibility/2006">
    <mc:Choice Requires="x15">
      <x15ac:absPath xmlns:x15ac="http://schemas.microsoft.com/office/spreadsheetml/2010/11/ac" url="/Users/mohammedfaran/Desktop/Research project &amp; material/IX/PSDM/"/>
    </mc:Choice>
  </mc:AlternateContent>
  <xr:revisionPtr revIDLastSave="0" documentId="13_ncr:1_{2EF0F4C3-3AC3-D64E-84D5-544B0283E8A3}" xr6:coauthVersionLast="47" xr6:coauthVersionMax="47" xr10:uidLastSave="{00000000-0000-0000-0000-000000000000}"/>
  <bookViews>
    <workbookView visibility="hidden" xWindow="0" yWindow="0" windowWidth="28800" windowHeight="18000" activeTab="1" xr2:uid="{317BF3F6-A68C-4964-9BC3-AEDC7E3058F4}"/>
    <workbookView xWindow="0" yWindow="500" windowWidth="28800" windowHeight="16300" activeTab="2" xr2:uid="{98653675-A938-D14F-A750-90C4B098C7EB}"/>
  </bookViews>
  <sheets>
    <sheet name="Properties" sheetId="1" r:id="rId1"/>
    <sheet name="Kdata" sheetId="3" r:id="rId2"/>
    <sheet name="columnSpecs" sheetId="4" r:id="rId3"/>
    <sheet name="data" sheetId="5" r:id="rId4"/>
    <sheet name="kf_val" sheetId="7" r:id="rId5"/>
    <sheet name="Notes"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4" l="1"/>
  <c r="Y3" i="1"/>
  <c r="X3" i="1"/>
  <c r="W3" i="1"/>
  <c r="V3" i="1"/>
  <c r="U3" i="1"/>
  <c r="S3" i="1"/>
  <c r="R3" i="1"/>
  <c r="O3" i="1"/>
  <c r="N3" i="1"/>
  <c r="M3" i="1"/>
  <c r="L3" i="1"/>
  <c r="J3" i="1"/>
  <c r="G3" i="1"/>
  <c r="D3" i="1"/>
  <c r="C3" i="1"/>
  <c r="B3" i="1"/>
</calcChain>
</file>

<file path=xl/sharedStrings.xml><?xml version="1.0" encoding="utf-8"?>
<sst xmlns="http://schemas.openxmlformats.org/spreadsheetml/2006/main" count="866" uniqueCount="102">
  <si>
    <t>MW</t>
  </si>
  <si>
    <t>MolarVol</t>
  </si>
  <si>
    <t>BP</t>
  </si>
  <si>
    <t>Density</t>
  </si>
  <si>
    <t>Solubility</t>
  </si>
  <si>
    <t>VaporPress</t>
  </si>
  <si>
    <t>K</t>
  </si>
  <si>
    <t>1/n</t>
  </si>
  <si>
    <t>q</t>
  </si>
  <si>
    <t>brk</t>
  </si>
  <si>
    <t>AveC</t>
  </si>
  <si>
    <t>name</t>
  </si>
  <si>
    <t>value</t>
  </si>
  <si>
    <t>units</t>
  </si>
  <si>
    <t>carbonID</t>
  </si>
  <si>
    <t>radius</t>
  </si>
  <si>
    <t>cm</t>
  </si>
  <si>
    <t>porosity</t>
  </si>
  <si>
    <t>psdfr</t>
  </si>
  <si>
    <t>particleDensity</t>
  </si>
  <si>
    <t>g/ml</t>
  </si>
  <si>
    <t>length</t>
  </si>
  <si>
    <t>weight</t>
  </si>
  <si>
    <t>flowrate</t>
  </si>
  <si>
    <t>diameter</t>
  </si>
  <si>
    <t>tortuosity</t>
  </si>
  <si>
    <t>influentID</t>
  </si>
  <si>
    <t>influent</t>
  </si>
  <si>
    <t>effluentID</t>
  </si>
  <si>
    <t>effluent</t>
  </si>
  <si>
    <t>apparentDensity</t>
  </si>
  <si>
    <t>time</t>
  </si>
  <si>
    <t>type</t>
  </si>
  <si>
    <t>concentration</t>
  </si>
  <si>
    <t>compound</t>
  </si>
  <si>
    <t>This file contains information for example run of Python-based PSDM Model</t>
  </si>
  <si>
    <t>Python script is provided the names of sheets that contain data, additional sheets can be included, and will not be used unless specified</t>
  </si>
  <si>
    <t>Python is case-sensitive, compound name and other input columns should be consistent throughout</t>
  </si>
  <si>
    <t>"Properties" and "Kdata" can be in individual files for real use, included in this single file for convenience. (Since these might be reused for multiple runs)</t>
  </si>
  <si>
    <t xml:space="preserve">Properties and Kdata can contain compounds that do not exist in data, but if it is in "data" there must be a corresponding Properties column/info. </t>
  </si>
  <si>
    <t>Kdata is only necessary if you are running with a known K &amp; 1/n value. If using optimizer features, then Kdata will be generated from that analysis.</t>
  </si>
  <si>
    <t>Python also pays attention to extra spaces, or characters. If data is accidently stored in columns outside the format in this file, then full row/column deletes must be used to remove those possible hidden characters. Also, blank spaces at the end of text will be read explicitly, and may cause errors in reading in parameters/values.</t>
  </si>
  <si>
    <t>PFBA</t>
  </si>
  <si>
    <t>PFPeA</t>
  </si>
  <si>
    <t>PFHxA</t>
  </si>
  <si>
    <t>PFHpA</t>
  </si>
  <si>
    <t>PFOA</t>
  </si>
  <si>
    <t>PFNA</t>
  </si>
  <si>
    <t>PFDA</t>
  </si>
  <si>
    <t>PFMOAA</t>
  </si>
  <si>
    <t>PMPA</t>
  </si>
  <si>
    <t>PFBS</t>
  </si>
  <si>
    <t>PFHxS</t>
  </si>
  <si>
    <t>PFOS</t>
  </si>
  <si>
    <t>4:2FTS</t>
  </si>
  <si>
    <t>6:2FTS</t>
  </si>
  <si>
    <t>8:2FTS</t>
  </si>
  <si>
    <t>GenX</t>
  </si>
  <si>
    <t>NafionBP2</t>
  </si>
  <si>
    <t>PFNS</t>
  </si>
  <si>
    <t>PFO2HxA</t>
  </si>
  <si>
    <t>PFO3OA</t>
  </si>
  <si>
    <t>PFO4DA</t>
  </si>
  <si>
    <t>PFMOPrA</t>
  </si>
  <si>
    <t>PFHpS</t>
  </si>
  <si>
    <t>PFPrS</t>
  </si>
  <si>
    <t>PFPeS</t>
  </si>
  <si>
    <t>PFA694e</t>
  </si>
  <si>
    <t>g</t>
  </si>
  <si>
    <t>mg</t>
  </si>
  <si>
    <t>cm3/min</t>
  </si>
  <si>
    <t>min</t>
  </si>
  <si>
    <t>Type</t>
  </si>
  <si>
    <t>DL (m2/L)</t>
  </si>
  <si>
    <t>DL (cm^2/s)</t>
  </si>
  <si>
    <t>Vb</t>
  </si>
  <si>
    <t>constants</t>
  </si>
  <si>
    <t>unit</t>
  </si>
  <si>
    <t>CHLORIDE</t>
  </si>
  <si>
    <t>dp</t>
  </si>
  <si>
    <t>SULFATE</t>
  </si>
  <si>
    <t>Re</t>
  </si>
  <si>
    <t>unitless</t>
  </si>
  <si>
    <t>BICARBONATE</t>
  </si>
  <si>
    <t>Sc</t>
  </si>
  <si>
    <t>NITRATE</t>
  </si>
  <si>
    <t>u</t>
  </si>
  <si>
    <t>cP</t>
  </si>
  <si>
    <t>vf</t>
  </si>
  <si>
    <t>porosity €</t>
  </si>
  <si>
    <t xml:space="preserve">non </t>
  </si>
  <si>
    <t>temp</t>
  </si>
  <si>
    <t>C deg</t>
  </si>
  <si>
    <t>n =</t>
  </si>
  <si>
    <t xml:space="preserve">shape factor = </t>
  </si>
  <si>
    <t>bed porosity</t>
  </si>
  <si>
    <t>density</t>
  </si>
  <si>
    <t>apparent density</t>
  </si>
  <si>
    <t>NFB1</t>
  </si>
  <si>
    <t>NFB2</t>
  </si>
  <si>
    <t>kf (cm/s)</t>
  </si>
  <si>
    <t>cm/s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</si>
</sst>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 \ "/>
  </numFmts>
  <fonts count="15" x14ac:knownFonts="1">
    <font>
      <sz val="11"/>
      <color theme="1"/>
      <name val="Calibri"/>
      <family val="2"/>
      <scheme val="minor"/>
    </font>
    <font>
      <b/>
      <sz val="11"/>
      <color theme="1"/>
      <name val="Calibri"/>
      <family val="2"/>
      <scheme val="minor"/>
    </font>
    <font>
      <sz val="11"/>
      <color rgb="FF000000"/>
      <name val="Calibri"/>
      <family val="2"/>
      <scheme val="minor"/>
    </font>
    <font>
      <sz val="16"/>
      <color theme="1"/>
      <name val="Calibri"/>
      <family val="2"/>
      <scheme val="minor"/>
    </font>
    <font>
      <sz val="24"/>
      <color theme="1"/>
      <name val="Calibri"/>
      <family val="2"/>
      <scheme val="minor"/>
    </font>
    <font>
      <b/>
      <sz val="24"/>
      <color rgb="FFFF0000"/>
      <name val="Calibri"/>
      <family val="2"/>
      <scheme val="minor"/>
    </font>
    <font>
      <sz val="11"/>
      <color theme="1"/>
      <name val="Calibri"/>
      <family val="2"/>
      <scheme val="minor"/>
    </font>
    <font>
      <sz val="11"/>
      <name val="Calibri"/>
      <family val="2"/>
      <scheme val="minor"/>
    </font>
    <font>
      <b/>
      <sz val="11"/>
      <name val="Calibri"/>
      <family val="2"/>
      <scheme val="minor"/>
    </font>
    <font>
      <sz val="9"/>
      <name val="Roboto"/>
    </font>
    <font>
      <sz val="12"/>
      <color rgb="FF000000"/>
      <name val="Aptos Narrow"/>
      <family val="2"/>
    </font>
    <font>
      <sz val="11"/>
      <color rgb="FF000000"/>
      <name val="Calibri"/>
      <family val="2"/>
    </font>
    <font>
      <sz val="11"/>
      <color rgb="FF000000"/>
      <name val="Aptos Narrow"/>
      <family val="2"/>
    </font>
    <font>
      <b/>
      <sz val="12"/>
      <color theme="1"/>
      <name val="Calibri"/>
      <family val="2"/>
      <scheme val="minor"/>
    </font>
    <font>
      <sz val="10"/>
      <color theme="1"/>
      <name val="Arial Unicode MS"/>
      <family val="2"/>
    </font>
  </fonts>
  <fills count="2">
    <fill>
      <patternFill patternType="none"/>
    </fill>
    <fill>
      <patternFill patternType="gray125"/>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style="thin">
        <color auto="1"/>
      </right>
      <top/>
      <bottom/>
      <diagonal/>
    </border>
    <border>
      <left style="thin">
        <color auto="1"/>
      </left>
      <right/>
      <top style="thin">
        <color auto="1"/>
      </top>
      <bottom style="thin">
        <color auto="1"/>
      </bottom>
      <diagonal/>
    </border>
  </borders>
  <cellStyleXfs count="2">
    <xf numFmtId="0" fontId="0" fillId="0" borderId="0"/>
    <xf numFmtId="43" fontId="6" fillId="0" borderId="0" applyFont="0" applyFill="0" applyBorder="0" applyAlignment="0" applyProtection="0"/>
  </cellStyleXfs>
  <cellXfs count="50">
    <xf numFmtId="0" fontId="0" fillId="0" borderId="0" xfId="0"/>
    <xf numFmtId="0" fontId="1" fillId="0" borderId="1" xfId="0" applyFont="1" applyBorder="1" applyAlignment="1">
      <alignment horizontal="center" vertical="top"/>
    </xf>
    <xf numFmtId="0" fontId="3" fillId="0" borderId="0" xfId="0" applyFont="1"/>
    <xf numFmtId="0" fontId="4" fillId="0" borderId="0" xfId="0" applyFont="1" applyAlignment="1">
      <alignment wrapText="1"/>
    </xf>
    <xf numFmtId="0" fontId="5" fillId="0" borderId="0" xfId="0" applyFont="1" applyAlignment="1">
      <alignment wrapText="1"/>
    </xf>
    <xf numFmtId="0" fontId="2" fillId="0" borderId="0" xfId="0" applyFont="1" applyAlignment="1">
      <alignment horizontal="center"/>
    </xf>
    <xf numFmtId="0" fontId="7" fillId="0" borderId="0" xfId="0" applyFont="1" applyAlignment="1">
      <alignment horizontal="center"/>
    </xf>
    <xf numFmtId="0" fontId="8" fillId="0" borderId="1" xfId="0" applyFont="1" applyBorder="1" applyAlignment="1">
      <alignment horizontal="center" vertical="top"/>
    </xf>
    <xf numFmtId="0" fontId="8" fillId="0" borderId="2" xfId="0" applyFont="1" applyBorder="1" applyAlignment="1">
      <alignment horizontal="center" vertical="top"/>
    </xf>
    <xf numFmtId="0" fontId="8" fillId="0" borderId="3" xfId="0" applyFont="1" applyBorder="1" applyAlignment="1">
      <alignment horizontal="center" vertical="top"/>
    </xf>
    <xf numFmtId="0" fontId="9" fillId="0" borderId="0" xfId="0" applyFont="1" applyAlignment="1">
      <alignment horizontal="center"/>
    </xf>
    <xf numFmtId="2" fontId="7" fillId="0" borderId="0" xfId="0" applyNumberFormat="1" applyFont="1" applyAlignment="1">
      <alignment horizontal="center"/>
    </xf>
    <xf numFmtId="11" fontId="7" fillId="0" borderId="0" xfId="0" applyNumberFormat="1" applyFont="1" applyAlignment="1">
      <alignment horizontal="center"/>
    </xf>
    <xf numFmtId="0" fontId="0" fillId="0" borderId="1" xfId="0" applyBorder="1"/>
    <xf numFmtId="0" fontId="10" fillId="0" borderId="1" xfId="0" applyFont="1" applyBorder="1"/>
    <xf numFmtId="2" fontId="2" fillId="0" borderId="1" xfId="0" applyNumberFormat="1" applyFont="1" applyBorder="1" applyAlignment="1">
      <alignment horizontal="center"/>
    </xf>
    <xf numFmtId="11" fontId="11" fillId="0" borderId="1" xfId="1" applyNumberFormat="1" applyFont="1" applyBorder="1" applyAlignment="1">
      <alignment horizontal="center"/>
    </xf>
    <xf numFmtId="2" fontId="11" fillId="0" borderId="1" xfId="0" applyNumberFormat="1" applyFont="1" applyBorder="1"/>
    <xf numFmtId="0" fontId="11" fillId="0" borderId="1" xfId="0" applyFont="1" applyBorder="1"/>
    <xf numFmtId="11" fontId="0" fillId="0" borderId="1" xfId="0" applyNumberFormat="1" applyBorder="1"/>
    <xf numFmtId="2" fontId="11" fillId="0" borderId="1" xfId="1" applyNumberFormat="1" applyFont="1" applyBorder="1" applyAlignment="1">
      <alignment horizontal="center"/>
    </xf>
    <xf numFmtId="11" fontId="0" fillId="0" borderId="1" xfId="1" applyNumberFormat="1" applyFont="1" applyBorder="1" applyAlignment="1">
      <alignment horizontal="center"/>
    </xf>
    <xf numFmtId="0" fontId="2" fillId="0" borderId="0" xfId="0" applyFont="1" applyAlignment="1">
      <alignment horizontal="center" vertical="center"/>
    </xf>
    <xf numFmtId="0" fontId="13" fillId="0" borderId="1" xfId="0" applyFont="1" applyBorder="1"/>
    <xf numFmtId="0" fontId="11" fillId="0" borderId="0" xfId="0" applyFont="1" applyAlignment="1">
      <alignment horizontal="center" vertical="center" wrapText="1"/>
    </xf>
    <xf numFmtId="0" fontId="11" fillId="0" borderId="0" xfId="0" applyFont="1" applyAlignment="1">
      <alignment horizontal="center" wrapText="1"/>
    </xf>
    <xf numFmtId="0" fontId="11" fillId="0" borderId="0" xfId="0" applyFont="1" applyAlignment="1">
      <alignment horizontal="center" vertical="center"/>
    </xf>
    <xf numFmtId="0" fontId="11" fillId="0" borderId="0" xfId="0" applyFont="1" applyAlignment="1">
      <alignment horizontal="center"/>
    </xf>
    <xf numFmtId="0" fontId="8" fillId="0" borderId="0" xfId="0" applyFont="1" applyAlignment="1">
      <alignment horizontal="center" vertical="top"/>
    </xf>
    <xf numFmtId="0" fontId="1" fillId="0" borderId="1" xfId="0" applyFont="1" applyBorder="1"/>
    <xf numFmtId="0" fontId="2" fillId="0" borderId="1" xfId="0" applyFont="1" applyBorder="1"/>
    <xf numFmtId="0" fontId="2" fillId="0" borderId="1" xfId="0" applyFont="1" applyBorder="1" applyAlignment="1">
      <alignment horizontal="right"/>
    </xf>
    <xf numFmtId="0" fontId="7" fillId="0" borderId="1" xfId="0" applyFont="1" applyBorder="1" applyAlignment="1">
      <alignment horizontal="center"/>
    </xf>
    <xf numFmtId="0" fontId="2" fillId="0" borderId="1" xfId="0" applyFont="1" applyBorder="1" applyAlignment="1">
      <alignment horizontal="center"/>
    </xf>
    <xf numFmtId="0" fontId="9" fillId="0" borderId="1" xfId="0" applyFont="1" applyBorder="1" applyAlignment="1">
      <alignment horizontal="center"/>
    </xf>
    <xf numFmtId="2" fontId="7" fillId="0" borderId="1" xfId="0" applyNumberFormat="1" applyFont="1" applyBorder="1" applyAlignment="1">
      <alignment horizontal="center"/>
    </xf>
    <xf numFmtId="11" fontId="7" fillId="0" borderId="1" xfId="0" applyNumberFormat="1" applyFont="1" applyBorder="1" applyAlignment="1">
      <alignment horizontal="center"/>
    </xf>
    <xf numFmtId="0" fontId="14" fillId="0" borderId="0" xfId="0" applyFont="1"/>
    <xf numFmtId="0" fontId="12" fillId="0" borderId="1" xfId="0" applyFont="1" applyBorder="1" applyAlignment="1">
      <alignment horizontal="center" vertical="center"/>
    </xf>
    <xf numFmtId="11" fontId="12" fillId="0" borderId="1" xfId="0" applyNumberFormat="1" applyFont="1" applyBorder="1" applyAlignment="1">
      <alignment horizontal="center" vertical="center"/>
    </xf>
    <xf numFmtId="0" fontId="2" fillId="0" borderId="1" xfId="0" applyFont="1" applyBorder="1" applyAlignment="1">
      <alignment horizontal="center" vertical="center"/>
    </xf>
    <xf numFmtId="164" fontId="14" fillId="0" borderId="0" xfId="0" applyNumberFormat="1" applyFont="1"/>
    <xf numFmtId="164" fontId="0" fillId="0" borderId="0" xfId="0" applyNumberFormat="1"/>
    <xf numFmtId="0" fontId="0" fillId="0" borderId="0" xfId="0" applyAlignment="1">
      <alignment horizontal="center"/>
    </xf>
    <xf numFmtId="0" fontId="10" fillId="0" borderId="4" xfId="0" applyFont="1" applyBorder="1"/>
    <xf numFmtId="11" fontId="12" fillId="0" borderId="4" xfId="0" applyNumberFormat="1" applyFont="1" applyBorder="1" applyAlignment="1">
      <alignment horizontal="center" vertical="center"/>
    </xf>
    <xf numFmtId="0" fontId="2" fillId="0" borderId="2" xfId="0" applyFont="1" applyBorder="1" applyAlignment="1">
      <alignment horizontal="center"/>
    </xf>
    <xf numFmtId="0" fontId="2" fillId="0" borderId="1" xfId="0" applyFont="1" applyBorder="1" applyAlignment="1">
      <alignment vertical="center"/>
    </xf>
    <xf numFmtId="0" fontId="11" fillId="0" borderId="1" xfId="1" applyNumberFormat="1" applyFont="1" applyBorder="1"/>
    <xf numFmtId="0" fontId="1" fillId="0" borderId="0" xfId="0" applyFont="1"/>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13</xdr:col>
      <xdr:colOff>2241</xdr:colOff>
      <xdr:row>0</xdr:row>
      <xdr:rowOff>0</xdr:rowOff>
    </xdr:from>
    <xdr:to>
      <xdr:col>19</xdr:col>
      <xdr:colOff>443653</xdr:colOff>
      <xdr:row>26</xdr:row>
      <xdr:rowOff>107545</xdr:rowOff>
    </xdr:to>
    <xdr:pic>
      <xdr:nvPicPr>
        <xdr:cNvPr id="2" name="Picture 1">
          <a:extLst>
            <a:ext uri="{FF2B5EF4-FFF2-40B4-BE49-F238E27FC236}">
              <a16:creationId xmlns:a16="http://schemas.microsoft.com/office/drawing/2014/main" id="{0F731EA8-129C-3143-946B-EB73BDDB99F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22081" y="0"/>
          <a:ext cx="5379172" cy="5146905"/>
        </a:xfrm>
        <a:prstGeom prst="rect">
          <a:avLst/>
        </a:prstGeom>
      </xdr:spPr>
    </xdr:pic>
    <xdr:clientData/>
  </xdr:twoCellAnchor>
  <xdr:twoCellAnchor editAs="oneCell">
    <xdr:from>
      <xdr:col>19</xdr:col>
      <xdr:colOff>581054</xdr:colOff>
      <xdr:row>21</xdr:row>
      <xdr:rowOff>84359</xdr:rowOff>
    </xdr:from>
    <xdr:to>
      <xdr:col>26</xdr:col>
      <xdr:colOff>717974</xdr:colOff>
      <xdr:row>25</xdr:row>
      <xdr:rowOff>41890</xdr:rowOff>
    </xdr:to>
    <xdr:pic>
      <xdr:nvPicPr>
        <xdr:cNvPr id="3" name="Picture 2">
          <a:extLst>
            <a:ext uri="{FF2B5EF4-FFF2-40B4-BE49-F238E27FC236}">
              <a16:creationId xmlns:a16="http://schemas.microsoft.com/office/drawing/2014/main" id="{EB9B925D-52E5-6548-94B0-FEBF061B4A0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6938654" y="4361719"/>
          <a:ext cx="5897640" cy="729691"/>
        </a:xfrm>
        <a:prstGeom prst="rect">
          <a:avLst/>
        </a:prstGeom>
      </xdr:spPr>
    </xdr:pic>
    <xdr:clientData/>
  </xdr:twoCellAnchor>
  <xdr:twoCellAnchor editAs="oneCell">
    <xdr:from>
      <xdr:col>12</xdr:col>
      <xdr:colOff>812800</xdr:colOff>
      <xdr:row>25</xdr:row>
      <xdr:rowOff>186266</xdr:rowOff>
    </xdr:from>
    <xdr:to>
      <xdr:col>19</xdr:col>
      <xdr:colOff>575732</xdr:colOff>
      <xdr:row>55</xdr:row>
      <xdr:rowOff>29577</xdr:rowOff>
    </xdr:to>
    <xdr:pic>
      <xdr:nvPicPr>
        <xdr:cNvPr id="4" name="Picture 3">
          <a:extLst>
            <a:ext uri="{FF2B5EF4-FFF2-40B4-BE49-F238E27FC236}">
              <a16:creationId xmlns:a16="http://schemas.microsoft.com/office/drawing/2014/main" id="{4229B651-041C-4C44-8749-95010BC2B14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417300" y="5469466"/>
          <a:ext cx="5541432" cy="5304311"/>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C35B5A-4C99-4FFF-A009-4B0244077301}">
  <dimension ref="A1:AA13"/>
  <sheetViews>
    <sheetView zoomScale="125" zoomScaleNormal="160" workbookViewId="0">
      <selection activeCell="D17" sqref="D17"/>
    </sheetView>
    <sheetView workbookViewId="1">
      <selection activeCell="E15" sqref="E15"/>
    </sheetView>
  </sheetViews>
  <sheetFormatPr baseColWidth="10" defaultColWidth="8.6640625" defaultRowHeight="15" x14ac:dyDescent="0.2"/>
  <cols>
    <col min="1" max="1" width="11" style="6" bestFit="1" customWidth="1"/>
    <col min="2" max="2" width="8.33203125" style="6" bestFit="1" customWidth="1"/>
    <col min="3" max="3" width="10.33203125" style="6" bestFit="1" customWidth="1"/>
    <col min="4" max="4" width="8" style="6" bestFit="1" customWidth="1"/>
    <col min="5" max="5" width="9" style="6" bestFit="1" customWidth="1"/>
    <col min="6" max="6" width="8.33203125" style="6" bestFit="1" customWidth="1"/>
    <col min="7" max="8" width="11" style="6" bestFit="1" customWidth="1"/>
    <col min="9" max="9" width="8.33203125" style="6" bestFit="1" customWidth="1"/>
    <col min="10" max="10" width="9" style="6" bestFit="1" customWidth="1"/>
    <col min="11" max="11" width="7" style="6" bestFit="1" customWidth="1"/>
    <col min="12" max="12" width="8.33203125" style="6" bestFit="1" customWidth="1"/>
    <col min="13" max="13" width="9.1640625" style="6" bestFit="1" customWidth="1"/>
    <col min="14" max="14" width="8.33203125" style="6" bestFit="1" customWidth="1"/>
    <col min="15" max="15" width="8.1640625" style="6" bestFit="1" customWidth="1"/>
    <col min="16" max="16" width="7" style="6" bestFit="1" customWidth="1"/>
    <col min="17" max="17" width="8.33203125" style="6" bestFit="1" customWidth="1"/>
    <col min="18" max="18" width="8" style="6" bestFit="1" customWidth="1"/>
    <col min="19" max="19" width="9.5" style="6" bestFit="1" customWidth="1"/>
    <col min="20" max="20" width="9.5" style="6" customWidth="1"/>
    <col min="21" max="23" width="7" style="6" bestFit="1" customWidth="1"/>
    <col min="24" max="16384" width="8.6640625" style="6"/>
  </cols>
  <sheetData>
    <row r="1" spans="1:27" x14ac:dyDescent="0.2">
      <c r="A1" s="32" t="s">
        <v>34</v>
      </c>
      <c r="B1" s="7" t="s">
        <v>57</v>
      </c>
      <c r="C1" s="7" t="s">
        <v>58</v>
      </c>
      <c r="D1" s="7" t="s">
        <v>42</v>
      </c>
      <c r="E1" s="7" t="s">
        <v>51</v>
      </c>
      <c r="F1" s="7" t="s">
        <v>48</v>
      </c>
      <c r="G1" s="7" t="s">
        <v>45</v>
      </c>
      <c r="H1" s="7" t="s">
        <v>44</v>
      </c>
      <c r="I1" s="7" t="s">
        <v>52</v>
      </c>
      <c r="J1" s="7" t="s">
        <v>49</v>
      </c>
      <c r="K1" s="7" t="s">
        <v>47</v>
      </c>
      <c r="L1" s="7" t="s">
        <v>59</v>
      </c>
      <c r="M1" s="7" t="s">
        <v>60</v>
      </c>
      <c r="N1" s="7" t="s">
        <v>61</v>
      </c>
      <c r="O1" s="7" t="s">
        <v>62</v>
      </c>
      <c r="P1" s="7" t="s">
        <v>46</v>
      </c>
      <c r="Q1" s="7" t="s">
        <v>53</v>
      </c>
      <c r="R1" s="7" t="s">
        <v>43</v>
      </c>
      <c r="S1" s="7" t="s">
        <v>63</v>
      </c>
      <c r="T1" s="7" t="s">
        <v>54</v>
      </c>
      <c r="U1" s="7" t="s">
        <v>55</v>
      </c>
      <c r="V1" s="7" t="s">
        <v>56</v>
      </c>
      <c r="W1" s="7" t="s">
        <v>64</v>
      </c>
      <c r="X1" s="7" t="s">
        <v>65</v>
      </c>
      <c r="Y1" s="7" t="s">
        <v>66</v>
      </c>
      <c r="Z1" s="32" t="s">
        <v>50</v>
      </c>
    </row>
    <row r="2" spans="1:27" x14ac:dyDescent="0.2">
      <c r="A2" s="32" t="s">
        <v>0</v>
      </c>
      <c r="B2" s="32">
        <v>330.05</v>
      </c>
      <c r="C2" s="32">
        <v>464.13</v>
      </c>
      <c r="D2" s="32">
        <v>214.03899999999999</v>
      </c>
      <c r="E2" s="32">
        <v>300.10000000000002</v>
      </c>
      <c r="F2" s="32">
        <v>514.08600000000001</v>
      </c>
      <c r="G2" s="32">
        <v>364.06200000000001</v>
      </c>
      <c r="H2" s="32">
        <v>314.05399999999997</v>
      </c>
      <c r="I2" s="32">
        <v>400.11</v>
      </c>
      <c r="J2" s="32">
        <v>180.03</v>
      </c>
      <c r="K2" s="32">
        <v>464.08</v>
      </c>
      <c r="L2" s="32">
        <v>550.13</v>
      </c>
      <c r="M2" s="32">
        <v>246.03700000000001</v>
      </c>
      <c r="N2" s="32">
        <v>312.04399999999998</v>
      </c>
      <c r="O2" s="32">
        <v>378.05099999999999</v>
      </c>
      <c r="P2" s="32">
        <v>414.07</v>
      </c>
      <c r="Q2" s="32">
        <v>500.13</v>
      </c>
      <c r="R2" s="32">
        <v>264.04700000000003</v>
      </c>
      <c r="S2" s="32">
        <v>230.03800000000001</v>
      </c>
      <c r="T2" s="33">
        <v>327.14</v>
      </c>
      <c r="U2" s="32">
        <v>428.16</v>
      </c>
      <c r="V2" s="32">
        <v>528.16999999999996</v>
      </c>
      <c r="W2" s="32">
        <v>450.12</v>
      </c>
      <c r="X2" s="34">
        <v>250.09</v>
      </c>
      <c r="Y2" s="32">
        <v>350.1</v>
      </c>
      <c r="Z2" s="33">
        <v>230.03800000000001</v>
      </c>
    </row>
    <row r="3" spans="1:27" s="11" customFormat="1" x14ac:dyDescent="0.2">
      <c r="A3" s="32" t="s">
        <v>1</v>
      </c>
      <c r="B3" s="35">
        <f>B2/B4</f>
        <v>188.6</v>
      </c>
      <c r="C3" s="35">
        <f>C2/C4</f>
        <v>252.24456521739128</v>
      </c>
      <c r="D3" s="35">
        <f>D2/D4</f>
        <v>129.72060606060606</v>
      </c>
      <c r="E3" s="35">
        <v>162</v>
      </c>
      <c r="F3" s="35">
        <v>292</v>
      </c>
      <c r="G3" s="35">
        <f>G2/G4</f>
        <v>212.90175438596492</v>
      </c>
      <c r="H3" s="35">
        <v>182</v>
      </c>
      <c r="I3" s="35">
        <v>217</v>
      </c>
      <c r="J3" s="35">
        <f>J2/J4</f>
        <v>111.12962962962962</v>
      </c>
      <c r="K3" s="35">
        <v>265</v>
      </c>
      <c r="L3" s="35">
        <f>L2/L4</f>
        <v>295.76881720430106</v>
      </c>
      <c r="M3" s="35">
        <f>M2/M4</f>
        <v>140.59257142857143</v>
      </c>
      <c r="N3" s="35">
        <f>N2/N4</f>
        <v>174.3262569832402</v>
      </c>
      <c r="O3" s="35">
        <f>O2/O4</f>
        <v>212.388202247191</v>
      </c>
      <c r="P3" s="35">
        <v>237</v>
      </c>
      <c r="Q3" s="35">
        <v>272</v>
      </c>
      <c r="R3" s="35">
        <f t="shared" ref="R3:Y3" si="0">R2/R4</f>
        <v>158.11197604790422</v>
      </c>
      <c r="S3" s="35">
        <f t="shared" si="0"/>
        <v>139.41696969696972</v>
      </c>
      <c r="T3" s="33">
        <v>195</v>
      </c>
      <c r="U3" s="35">
        <f t="shared" si="0"/>
        <v>254.85714285714289</v>
      </c>
      <c r="V3" s="35">
        <f t="shared" si="0"/>
        <v>308.87134502923976</v>
      </c>
      <c r="W3" s="35">
        <f t="shared" si="0"/>
        <v>242</v>
      </c>
      <c r="X3" s="35">
        <f t="shared" si="0"/>
        <v>137.41208791208791</v>
      </c>
      <c r="Y3" s="35">
        <f t="shared" si="0"/>
        <v>191.31147540983608</v>
      </c>
      <c r="Z3" s="33">
        <v>134</v>
      </c>
    </row>
    <row r="4" spans="1:27" x14ac:dyDescent="0.2">
      <c r="A4" s="32" t="s">
        <v>3</v>
      </c>
      <c r="B4" s="32">
        <v>1.75</v>
      </c>
      <c r="C4" s="32">
        <v>1.84</v>
      </c>
      <c r="D4" s="32">
        <v>1.65</v>
      </c>
      <c r="E4" s="32">
        <v>1.83</v>
      </c>
      <c r="F4" s="32">
        <v>1.79</v>
      </c>
      <c r="G4" s="32">
        <v>1.71</v>
      </c>
      <c r="H4" s="32">
        <v>1.69</v>
      </c>
      <c r="I4" s="32">
        <v>1.84</v>
      </c>
      <c r="J4" s="32">
        <v>1.62</v>
      </c>
      <c r="K4" s="32">
        <v>1.78</v>
      </c>
      <c r="L4" s="32">
        <v>1.86</v>
      </c>
      <c r="M4" s="32">
        <v>1.75</v>
      </c>
      <c r="N4" s="32">
        <v>1.79</v>
      </c>
      <c r="O4" s="32">
        <v>1.78</v>
      </c>
      <c r="P4" s="32">
        <v>1.8</v>
      </c>
      <c r="Q4" s="32">
        <v>1.84</v>
      </c>
      <c r="R4" s="32">
        <v>1.67</v>
      </c>
      <c r="S4" s="32">
        <v>1.65</v>
      </c>
      <c r="T4" s="32">
        <v>1.65</v>
      </c>
      <c r="U4" s="32">
        <v>1.68</v>
      </c>
      <c r="V4" s="32">
        <v>1.71</v>
      </c>
      <c r="W4" s="32">
        <v>1.86</v>
      </c>
      <c r="X4" s="32">
        <v>1.82</v>
      </c>
      <c r="Y4" s="32">
        <v>1.83</v>
      </c>
      <c r="Z4" s="32">
        <v>1.5</v>
      </c>
    </row>
    <row r="5" spans="1:27" s="12" customFormat="1" x14ac:dyDescent="0.2">
      <c r="A5" s="32" t="s">
        <v>4</v>
      </c>
      <c r="B5" s="36">
        <v>5.5199999999999999E-2</v>
      </c>
      <c r="C5" s="36"/>
      <c r="D5" s="36"/>
      <c r="E5" s="36">
        <v>2292.7640000000001</v>
      </c>
      <c r="F5" s="36"/>
      <c r="G5" s="36">
        <v>162.37165200000001</v>
      </c>
      <c r="H5" s="36">
        <v>200.05239799999995</v>
      </c>
      <c r="I5" s="36">
        <v>0</v>
      </c>
      <c r="J5" s="36"/>
      <c r="K5" s="36"/>
      <c r="L5" s="36"/>
      <c r="M5" s="36"/>
      <c r="N5" s="36"/>
      <c r="O5" s="36"/>
      <c r="P5" s="36"/>
      <c r="Q5" s="36">
        <v>0</v>
      </c>
      <c r="R5" s="36"/>
      <c r="S5" s="36"/>
      <c r="T5" s="36"/>
      <c r="U5" s="36"/>
      <c r="V5" s="36"/>
      <c r="W5" s="36"/>
      <c r="X5" s="36"/>
      <c r="Y5" s="36"/>
      <c r="Z5" s="36"/>
    </row>
    <row r="6" spans="1:27" x14ac:dyDescent="0.2">
      <c r="A6" s="32" t="s">
        <v>5</v>
      </c>
      <c r="B6" s="32"/>
      <c r="C6" s="32"/>
      <c r="D6" s="32">
        <v>6.37</v>
      </c>
      <c r="E6" s="36">
        <v>0.23799999999999999</v>
      </c>
      <c r="F6" s="36">
        <v>3.1099999999999999E-2</v>
      </c>
      <c r="G6" s="32">
        <v>0.13300000000000001</v>
      </c>
      <c r="H6" s="32">
        <v>1.45</v>
      </c>
      <c r="I6" s="36">
        <v>9.9500000000000005E-3</v>
      </c>
      <c r="J6" s="32">
        <v>8.4600000000000009</v>
      </c>
      <c r="K6" s="32">
        <v>0.17100000000000001</v>
      </c>
      <c r="L6" s="36">
        <v>5.6499999999999996E-3</v>
      </c>
      <c r="M6" s="32"/>
      <c r="N6" s="32"/>
      <c r="O6" s="32"/>
      <c r="P6" s="32">
        <v>0.52500000000000002</v>
      </c>
      <c r="Q6" s="36">
        <v>7.7999999999999996E-3</v>
      </c>
      <c r="R6" s="32">
        <v>3.54</v>
      </c>
      <c r="S6" s="32"/>
      <c r="T6" s="32"/>
      <c r="U6" s="32"/>
      <c r="V6" s="32"/>
      <c r="W6" s="32"/>
      <c r="X6" s="32"/>
      <c r="Y6" s="32"/>
      <c r="Z6" s="32"/>
    </row>
    <row r="7" spans="1:27" x14ac:dyDescent="0.2">
      <c r="A7" s="32" t="s">
        <v>2</v>
      </c>
      <c r="B7" s="32">
        <v>173</v>
      </c>
      <c r="C7" s="32"/>
      <c r="D7" s="32">
        <v>121</v>
      </c>
      <c r="E7" s="32">
        <v>211</v>
      </c>
      <c r="F7" s="32">
        <v>184</v>
      </c>
      <c r="G7" s="32">
        <v>175</v>
      </c>
      <c r="H7" s="32">
        <v>157</v>
      </c>
      <c r="I7" s="32">
        <v>239</v>
      </c>
      <c r="J7" s="32">
        <v>110</v>
      </c>
      <c r="K7" s="32">
        <v>218</v>
      </c>
      <c r="L7" s="32">
        <v>245</v>
      </c>
      <c r="M7" s="32"/>
      <c r="N7" s="32"/>
      <c r="O7" s="32"/>
      <c r="P7" s="32">
        <v>189</v>
      </c>
      <c r="Q7" s="32">
        <v>145</v>
      </c>
      <c r="R7" s="32">
        <v>138</v>
      </c>
      <c r="S7" s="32"/>
      <c r="T7" s="32"/>
      <c r="U7" s="32"/>
      <c r="V7" s="32"/>
      <c r="W7" s="32"/>
      <c r="X7" s="32"/>
      <c r="Y7" s="32"/>
      <c r="Z7" s="32"/>
    </row>
    <row r="13" spans="1:27" x14ac:dyDescent="0.2">
      <c r="Y13" s="22"/>
      <c r="AA13" s="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97697-1B90-46DD-B82E-FCE20BA48421}">
  <dimension ref="A1:AJ33"/>
  <sheetViews>
    <sheetView tabSelected="1" topLeftCell="AG1" zoomScale="122" zoomScaleNormal="122" workbookViewId="0">
      <selection activeCell="AJ10" sqref="AJ10"/>
    </sheetView>
    <sheetView zoomScale="68" workbookViewId="1">
      <selection activeCell="AF22" sqref="AF22"/>
    </sheetView>
  </sheetViews>
  <sheetFormatPr baseColWidth="10" defaultColWidth="8.83203125" defaultRowHeight="15" x14ac:dyDescent="0.2"/>
  <cols>
    <col min="1" max="1" width="8.83203125" customWidth="1"/>
  </cols>
  <sheetData>
    <row r="1" spans="1:36" x14ac:dyDescent="0.2">
      <c r="A1" s="6" t="s">
        <v>34</v>
      </c>
      <c r="B1" s="7" t="s">
        <v>57</v>
      </c>
      <c r="C1" s="7" t="s">
        <v>58</v>
      </c>
      <c r="D1" s="7" t="s">
        <v>42</v>
      </c>
      <c r="E1" s="7" t="s">
        <v>51</v>
      </c>
      <c r="F1" s="7" t="s">
        <v>48</v>
      </c>
      <c r="G1" s="7" t="s">
        <v>45</v>
      </c>
      <c r="H1" s="7" t="s">
        <v>44</v>
      </c>
      <c r="I1" s="7" t="s">
        <v>52</v>
      </c>
      <c r="J1" s="7" t="s">
        <v>49</v>
      </c>
      <c r="K1" s="7" t="s">
        <v>47</v>
      </c>
      <c r="L1" s="7" t="s">
        <v>59</v>
      </c>
      <c r="M1" s="7" t="s">
        <v>60</v>
      </c>
      <c r="N1" s="7" t="s">
        <v>61</v>
      </c>
      <c r="O1" s="7" t="s">
        <v>62</v>
      </c>
      <c r="P1" s="7" t="s">
        <v>46</v>
      </c>
      <c r="Q1" s="7" t="s">
        <v>53</v>
      </c>
      <c r="R1" s="7" t="s">
        <v>43</v>
      </c>
      <c r="S1" s="8" t="s">
        <v>63</v>
      </c>
      <c r="T1" s="9" t="s">
        <v>54</v>
      </c>
      <c r="U1" s="9" t="s">
        <v>55</v>
      </c>
      <c r="V1" s="9" t="s">
        <v>56</v>
      </c>
      <c r="W1" s="9" t="s">
        <v>64</v>
      </c>
      <c r="X1" s="9" t="s">
        <v>65</v>
      </c>
      <c r="Y1" s="9" t="s">
        <v>66</v>
      </c>
      <c r="Z1" s="9" t="s">
        <v>50</v>
      </c>
    </row>
    <row r="2" spans="1:36" ht="16" x14ac:dyDescent="0.25">
      <c r="A2" s="1" t="s">
        <v>6</v>
      </c>
      <c r="B2">
        <v>124.87946100000001</v>
      </c>
      <c r="C2" s="37">
        <v>1</v>
      </c>
      <c r="D2">
        <v>84.782173</v>
      </c>
      <c r="E2" s="37">
        <v>1</v>
      </c>
      <c r="F2" s="37">
        <v>1</v>
      </c>
      <c r="G2" s="37">
        <v>1</v>
      </c>
      <c r="H2">
        <v>119.839074</v>
      </c>
      <c r="I2" s="37">
        <v>1</v>
      </c>
      <c r="J2">
        <v>52.953467000000003</v>
      </c>
      <c r="K2" s="37">
        <v>1</v>
      </c>
      <c r="L2" s="37">
        <v>1</v>
      </c>
      <c r="M2" s="37">
        <v>1</v>
      </c>
      <c r="N2" s="37">
        <v>1</v>
      </c>
      <c r="O2" s="37">
        <v>1</v>
      </c>
      <c r="P2" s="37">
        <v>1</v>
      </c>
      <c r="Q2" s="37">
        <v>1</v>
      </c>
      <c r="R2">
        <v>131.123446</v>
      </c>
      <c r="S2" s="37">
        <v>1</v>
      </c>
      <c r="T2">
        <v>131.75133400000001</v>
      </c>
      <c r="U2" s="37">
        <v>1</v>
      </c>
      <c r="V2" s="37">
        <v>1</v>
      </c>
      <c r="W2" s="37">
        <v>1</v>
      </c>
      <c r="X2" s="37">
        <v>1</v>
      </c>
      <c r="Y2" s="37">
        <v>1</v>
      </c>
      <c r="Z2">
        <v>105.643784</v>
      </c>
    </row>
    <row r="3" spans="1:36" ht="16" x14ac:dyDescent="0.25">
      <c r="A3" s="1" t="s">
        <v>7</v>
      </c>
      <c r="B3">
        <v>1</v>
      </c>
      <c r="C3" s="37">
        <v>1</v>
      </c>
      <c r="D3">
        <v>1</v>
      </c>
      <c r="E3" s="37">
        <v>1</v>
      </c>
      <c r="F3" s="37">
        <v>1</v>
      </c>
      <c r="G3" s="37">
        <v>1</v>
      </c>
      <c r="H3">
        <v>1</v>
      </c>
      <c r="I3" s="37">
        <v>1</v>
      </c>
      <c r="J3">
        <v>1</v>
      </c>
      <c r="K3" s="37">
        <v>1</v>
      </c>
      <c r="L3" s="37">
        <v>1</v>
      </c>
      <c r="M3" s="37">
        <v>1</v>
      </c>
      <c r="N3" s="37">
        <v>1</v>
      </c>
      <c r="O3" s="37">
        <v>1</v>
      </c>
      <c r="P3" s="37">
        <v>1</v>
      </c>
      <c r="Q3" s="37">
        <v>1</v>
      </c>
      <c r="R3">
        <v>1</v>
      </c>
      <c r="S3" s="37">
        <v>1</v>
      </c>
      <c r="T3">
        <v>1</v>
      </c>
      <c r="U3" s="37">
        <v>1</v>
      </c>
      <c r="V3" s="37">
        <v>1</v>
      </c>
      <c r="W3" s="37">
        <v>1</v>
      </c>
      <c r="X3" s="37">
        <v>1</v>
      </c>
      <c r="Y3" s="37">
        <v>1</v>
      </c>
      <c r="Z3">
        <v>1</v>
      </c>
    </row>
    <row r="4" spans="1:36" ht="16" x14ac:dyDescent="0.25">
      <c r="A4" s="1" t="s">
        <v>8</v>
      </c>
      <c r="B4">
        <v>4.6999999999999997E-5</v>
      </c>
      <c r="C4" s="37">
        <v>1</v>
      </c>
      <c r="D4">
        <v>3.4999999999999997E-5</v>
      </c>
      <c r="E4" s="37">
        <v>1</v>
      </c>
      <c r="F4" s="37">
        <v>1</v>
      </c>
      <c r="G4" s="37">
        <v>1</v>
      </c>
      <c r="H4">
        <v>5.0000000000000002E-5</v>
      </c>
      <c r="I4" s="37">
        <v>1</v>
      </c>
      <c r="J4">
        <v>1.8E-5</v>
      </c>
      <c r="K4" s="37">
        <v>1</v>
      </c>
      <c r="L4" s="37">
        <v>1</v>
      </c>
      <c r="M4" s="37">
        <v>1</v>
      </c>
      <c r="N4" s="37">
        <v>1</v>
      </c>
      <c r="O4" s="37">
        <v>1</v>
      </c>
      <c r="P4" s="37">
        <v>1</v>
      </c>
      <c r="Q4" s="37">
        <v>1</v>
      </c>
      <c r="R4">
        <v>4.6999999999999997E-5</v>
      </c>
      <c r="S4" s="37">
        <v>1</v>
      </c>
      <c r="T4">
        <v>4.3000000000000002E-5</v>
      </c>
      <c r="U4" s="37">
        <v>1</v>
      </c>
      <c r="V4" s="37">
        <v>1</v>
      </c>
      <c r="W4" s="37">
        <v>1</v>
      </c>
      <c r="X4" s="37">
        <v>1</v>
      </c>
      <c r="Y4" s="37">
        <v>1</v>
      </c>
      <c r="Z4">
        <v>2.3E-5</v>
      </c>
    </row>
    <row r="5" spans="1:36" ht="16" x14ac:dyDescent="0.25">
      <c r="A5" s="1" t="s">
        <v>9</v>
      </c>
      <c r="B5">
        <v>1855.0262150000001</v>
      </c>
      <c r="C5" s="37">
        <v>1</v>
      </c>
      <c r="D5">
        <v>1855.0262150000001</v>
      </c>
      <c r="E5" s="37">
        <v>1</v>
      </c>
      <c r="F5" s="37">
        <v>1</v>
      </c>
      <c r="G5" s="37">
        <v>1</v>
      </c>
      <c r="H5">
        <v>1855.0262150000001</v>
      </c>
      <c r="I5" s="37">
        <v>1</v>
      </c>
      <c r="J5">
        <v>1855.0262150000001</v>
      </c>
      <c r="K5" s="37">
        <v>1</v>
      </c>
      <c r="L5" s="37">
        <v>1</v>
      </c>
      <c r="M5" s="37">
        <v>1</v>
      </c>
      <c r="N5" s="37">
        <v>1</v>
      </c>
      <c r="O5" s="37">
        <v>1</v>
      </c>
      <c r="P5" s="37">
        <v>1</v>
      </c>
      <c r="Q5" s="37">
        <v>1</v>
      </c>
      <c r="R5">
        <v>1855.0262150000001</v>
      </c>
      <c r="S5" s="37">
        <v>1</v>
      </c>
      <c r="T5">
        <v>1855.0262150000001</v>
      </c>
      <c r="U5" s="37">
        <v>1</v>
      </c>
      <c r="V5" s="37">
        <v>1</v>
      </c>
      <c r="W5" s="37">
        <v>1</v>
      </c>
      <c r="X5" s="37">
        <v>1</v>
      </c>
      <c r="Y5" s="37">
        <v>1</v>
      </c>
      <c r="Z5">
        <v>1855.0262150000001</v>
      </c>
    </row>
    <row r="6" spans="1:36" ht="16" x14ac:dyDescent="0.25">
      <c r="A6" s="1" t="s">
        <v>10</v>
      </c>
      <c r="B6">
        <v>3.7399999999999998E-4</v>
      </c>
      <c r="C6" s="37">
        <v>1</v>
      </c>
      <c r="D6">
        <v>4.1800000000000002E-4</v>
      </c>
      <c r="E6" s="37">
        <v>1</v>
      </c>
      <c r="F6" s="37">
        <v>1</v>
      </c>
      <c r="G6" s="37">
        <v>1</v>
      </c>
      <c r="H6">
        <v>4.15E-4</v>
      </c>
      <c r="I6" s="37">
        <v>1</v>
      </c>
      <c r="J6">
        <v>3.39E-4</v>
      </c>
      <c r="K6" s="37">
        <v>1</v>
      </c>
      <c r="L6" s="37">
        <v>1</v>
      </c>
      <c r="M6" s="37">
        <v>1</v>
      </c>
      <c r="N6" s="37">
        <v>1</v>
      </c>
      <c r="O6" s="37">
        <v>1</v>
      </c>
      <c r="P6" s="37">
        <v>1</v>
      </c>
      <c r="Q6" s="37">
        <v>1</v>
      </c>
      <c r="R6">
        <v>3.59E-4</v>
      </c>
      <c r="S6" s="37">
        <v>1</v>
      </c>
      <c r="T6">
        <v>3.2299999999999999E-4</v>
      </c>
      <c r="U6" s="37">
        <v>1</v>
      </c>
      <c r="V6" s="37">
        <v>1</v>
      </c>
      <c r="W6" s="37">
        <v>1</v>
      </c>
      <c r="X6" s="37">
        <v>1</v>
      </c>
      <c r="Y6" s="37">
        <v>1</v>
      </c>
      <c r="Z6">
        <v>2.13E-4</v>
      </c>
    </row>
    <row r="9" spans="1:36" ht="16" x14ac:dyDescent="0.25">
      <c r="AJ9" s="41"/>
    </row>
    <row r="10" spans="1:36" x14ac:dyDescent="0.2">
      <c r="AJ10" s="42"/>
    </row>
    <row r="11" spans="1:36" ht="16" x14ac:dyDescent="0.25">
      <c r="AJ11" s="41"/>
    </row>
    <row r="12" spans="1:36" ht="16" x14ac:dyDescent="0.25">
      <c r="AJ12" s="41"/>
    </row>
    <row r="13" spans="1:36" ht="16" x14ac:dyDescent="0.25">
      <c r="AJ13" s="41"/>
    </row>
    <row r="14" spans="1:36" ht="16" x14ac:dyDescent="0.25">
      <c r="AJ14" s="41"/>
    </row>
    <row r="15" spans="1:36" ht="16" x14ac:dyDescent="0.25">
      <c r="AJ15" s="41"/>
    </row>
    <row r="16" spans="1:36" ht="16" x14ac:dyDescent="0.25">
      <c r="AJ16" s="41"/>
    </row>
    <row r="17" spans="5:36" ht="16" x14ac:dyDescent="0.25">
      <c r="J17" s="49"/>
      <c r="K17" s="49"/>
      <c r="L17" s="49"/>
      <c r="M17" s="49"/>
      <c r="N17" s="49"/>
      <c r="O17" s="49"/>
      <c r="P17" s="49"/>
      <c r="AJ17" s="41"/>
    </row>
    <row r="18" spans="5:36" ht="16" x14ac:dyDescent="0.25">
      <c r="J18" s="49"/>
      <c r="AJ18" s="41"/>
    </row>
    <row r="19" spans="5:36" ht="16" x14ac:dyDescent="0.25">
      <c r="E19" s="49"/>
      <c r="F19" s="49"/>
      <c r="G19" s="49"/>
      <c r="H19" s="49"/>
      <c r="I19" s="49"/>
      <c r="J19" s="49"/>
      <c r="K19" s="49"/>
      <c r="AJ19" s="41"/>
    </row>
    <row r="20" spans="5:36" x14ac:dyDescent="0.2">
      <c r="E20" s="49"/>
    </row>
    <row r="21" spans="5:36" x14ac:dyDescent="0.2">
      <c r="E21" s="49"/>
    </row>
    <row r="22" spans="5:36" x14ac:dyDescent="0.2">
      <c r="E22" s="49"/>
    </row>
    <row r="23" spans="5:36" x14ac:dyDescent="0.2">
      <c r="E23" s="49"/>
    </row>
    <row r="24" spans="5:36" x14ac:dyDescent="0.2">
      <c r="E24" s="49"/>
    </row>
    <row r="25" spans="5:36" x14ac:dyDescent="0.2">
      <c r="E25" s="49"/>
    </row>
    <row r="26" spans="5:36" x14ac:dyDescent="0.2">
      <c r="E26" s="49"/>
    </row>
    <row r="27" spans="5:36" x14ac:dyDescent="0.2">
      <c r="J27" s="49"/>
    </row>
    <row r="28" spans="5:36" x14ac:dyDescent="0.2">
      <c r="J28" s="49"/>
    </row>
    <row r="29" spans="5:36" x14ac:dyDescent="0.2">
      <c r="J29" s="49"/>
    </row>
    <row r="30" spans="5:36" x14ac:dyDescent="0.2">
      <c r="J30" s="49"/>
    </row>
    <row r="31" spans="5:36" x14ac:dyDescent="0.2">
      <c r="J31" s="49"/>
    </row>
    <row r="32" spans="5:36" x14ac:dyDescent="0.2">
      <c r="J32" s="49"/>
    </row>
    <row r="33" spans="10:10" x14ac:dyDescent="0.2">
      <c r="J33" s="4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3F7DD-731C-403E-ACEA-F853111BA809}">
  <dimension ref="A1:C16"/>
  <sheetViews>
    <sheetView zoomScale="150" zoomScaleNormal="150" workbookViewId="0">
      <selection activeCell="B20" sqref="B20"/>
    </sheetView>
    <sheetView tabSelected="1" workbookViewId="1">
      <selection activeCell="B9" sqref="B9"/>
    </sheetView>
  </sheetViews>
  <sheetFormatPr baseColWidth="10" defaultColWidth="8.83203125" defaultRowHeight="15" x14ac:dyDescent="0.2"/>
  <cols>
    <col min="1" max="1" width="15.83203125" bestFit="1" customWidth="1"/>
  </cols>
  <sheetData>
    <row r="1" spans="1:3" x14ac:dyDescent="0.2">
      <c r="A1" s="29" t="s">
        <v>11</v>
      </c>
      <c r="B1" s="29" t="s">
        <v>12</v>
      </c>
      <c r="C1" s="29" t="s">
        <v>13</v>
      </c>
    </row>
    <row r="2" spans="1:3" x14ac:dyDescent="0.2">
      <c r="A2" s="30" t="s">
        <v>14</v>
      </c>
      <c r="B2" s="31" t="s">
        <v>67</v>
      </c>
      <c r="C2" s="13"/>
    </row>
    <row r="3" spans="1:3" x14ac:dyDescent="0.2">
      <c r="A3" s="30" t="s">
        <v>15</v>
      </c>
      <c r="B3" s="30">
        <v>5.1299999999999998E-2</v>
      </c>
      <c r="C3" s="13" t="s">
        <v>16</v>
      </c>
    </row>
    <row r="4" spans="1:3" ht="16" x14ac:dyDescent="0.2">
      <c r="A4" s="30" t="s">
        <v>17</v>
      </c>
      <c r="B4" s="14">
        <v>0.38100000000000001</v>
      </c>
      <c r="C4" s="13"/>
    </row>
    <row r="5" spans="1:3" x14ac:dyDescent="0.2">
      <c r="A5" s="30" t="s">
        <v>18</v>
      </c>
      <c r="B5" s="30">
        <v>5</v>
      </c>
      <c r="C5" s="13"/>
    </row>
    <row r="6" spans="1:3" x14ac:dyDescent="0.2">
      <c r="A6" s="30" t="s">
        <v>19</v>
      </c>
      <c r="B6" s="30">
        <v>1.05</v>
      </c>
      <c r="C6" s="13" t="s">
        <v>20</v>
      </c>
    </row>
    <row r="7" spans="1:3" x14ac:dyDescent="0.2">
      <c r="A7" s="30" t="s">
        <v>30</v>
      </c>
      <c r="B7" s="30">
        <v>1.6962839999999999</v>
      </c>
      <c r="C7" s="13" t="s">
        <v>20</v>
      </c>
    </row>
    <row r="8" spans="1:3" x14ac:dyDescent="0.2">
      <c r="A8" s="30" t="s">
        <v>21</v>
      </c>
      <c r="B8" s="30">
        <v>1.5</v>
      </c>
      <c r="C8" s="13" t="s">
        <v>16</v>
      </c>
    </row>
    <row r="9" spans="1:3" x14ac:dyDescent="0.2">
      <c r="A9" s="30" t="s">
        <v>22</v>
      </c>
      <c r="B9" s="13">
        <v>4.5699999999999998E-2</v>
      </c>
      <c r="C9" s="13" t="s">
        <v>68</v>
      </c>
    </row>
    <row r="10" spans="1:3" x14ac:dyDescent="0.2">
      <c r="A10" s="30" t="s">
        <v>23</v>
      </c>
      <c r="B10" s="13">
        <f>0.09633334*60</f>
        <v>5.7800004000000005</v>
      </c>
      <c r="C10" s="13" t="s">
        <v>70</v>
      </c>
    </row>
    <row r="11" spans="1:3" x14ac:dyDescent="0.2">
      <c r="A11" s="30" t="s">
        <v>24</v>
      </c>
      <c r="B11" s="30">
        <v>0.318</v>
      </c>
      <c r="C11" s="13" t="s">
        <v>16</v>
      </c>
    </row>
    <row r="12" spans="1:3" x14ac:dyDescent="0.2">
      <c r="A12" s="30" t="s">
        <v>25</v>
      </c>
      <c r="B12" s="30">
        <v>1</v>
      </c>
      <c r="C12" s="13"/>
    </row>
    <row r="13" spans="1:3" x14ac:dyDescent="0.2">
      <c r="A13" s="30" t="s">
        <v>26</v>
      </c>
      <c r="B13" s="30" t="s">
        <v>27</v>
      </c>
      <c r="C13" s="13"/>
    </row>
    <row r="14" spans="1:3" x14ac:dyDescent="0.2">
      <c r="A14" s="30" t="s">
        <v>28</v>
      </c>
      <c r="B14" s="30" t="s">
        <v>29</v>
      </c>
      <c r="C14" s="13"/>
    </row>
    <row r="15" spans="1:3" x14ac:dyDescent="0.2">
      <c r="A15" s="30" t="s">
        <v>13</v>
      </c>
      <c r="B15" s="13" t="s">
        <v>69</v>
      </c>
      <c r="C15" s="13"/>
    </row>
    <row r="16" spans="1:3" x14ac:dyDescent="0.2">
      <c r="A16" s="30" t="s">
        <v>31</v>
      </c>
      <c r="B16" s="30" t="s">
        <v>71</v>
      </c>
      <c r="C16" s="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BCFB4-DB77-4CE9-BB3A-E676947AF423}">
  <dimension ref="A1:D442"/>
  <sheetViews>
    <sheetView topLeftCell="A206" zoomScale="173" workbookViewId="0">
      <selection activeCell="B29" sqref="B29"/>
    </sheetView>
    <sheetView topLeftCell="A301" workbookViewId="1">
      <selection activeCell="H339" sqref="H339"/>
    </sheetView>
  </sheetViews>
  <sheetFormatPr baseColWidth="10" defaultColWidth="8.83203125" defaultRowHeight="15" x14ac:dyDescent="0.2"/>
  <cols>
    <col min="1" max="1" width="7.1640625" bestFit="1" customWidth="1"/>
    <col min="2" max="2" width="9.6640625" bestFit="1" customWidth="1"/>
    <col min="3" max="3" width="12" bestFit="1" customWidth="1"/>
    <col min="4" max="4" width="9.5" bestFit="1" customWidth="1"/>
  </cols>
  <sheetData>
    <row r="1" spans="1:4" x14ac:dyDescent="0.2">
      <c r="A1" s="13" t="s">
        <v>32</v>
      </c>
      <c r="B1" s="13" t="s">
        <v>31</v>
      </c>
      <c r="C1" s="13" t="s">
        <v>33</v>
      </c>
      <c r="D1" s="13" t="s">
        <v>34</v>
      </c>
    </row>
    <row r="2" spans="1:4" x14ac:dyDescent="0.2">
      <c r="A2" s="13" t="s">
        <v>27</v>
      </c>
      <c r="B2" s="15">
        <v>0</v>
      </c>
      <c r="C2" s="18">
        <v>3.5915999999999997E-4</v>
      </c>
      <c r="D2" s="18" t="s">
        <v>43</v>
      </c>
    </row>
    <row r="3" spans="1:4" x14ac:dyDescent="0.2">
      <c r="A3" s="13" t="s">
        <v>27</v>
      </c>
      <c r="B3" s="17">
        <v>41.666666666666664</v>
      </c>
      <c r="C3" s="18">
        <v>3.5915999999999997E-4</v>
      </c>
      <c r="D3" s="18" t="s">
        <v>43</v>
      </c>
    </row>
    <row r="4" spans="1:4" x14ac:dyDescent="0.2">
      <c r="A4" s="13" t="s">
        <v>27</v>
      </c>
      <c r="B4" s="15">
        <v>0</v>
      </c>
      <c r="C4" s="18">
        <v>4.1499499999999998E-4</v>
      </c>
      <c r="D4" s="30" t="s">
        <v>44</v>
      </c>
    </row>
    <row r="5" spans="1:4" x14ac:dyDescent="0.2">
      <c r="A5" s="13" t="s">
        <v>27</v>
      </c>
      <c r="B5" s="17">
        <v>41.666666666666664</v>
      </c>
      <c r="C5" s="18">
        <v>4.1499499999999998E-4</v>
      </c>
      <c r="D5" s="30" t="s">
        <v>44</v>
      </c>
    </row>
    <row r="6" spans="1:4" x14ac:dyDescent="0.2">
      <c r="A6" s="13" t="s">
        <v>27</v>
      </c>
      <c r="B6" s="15">
        <v>0</v>
      </c>
      <c r="C6" s="18">
        <v>3.7415500000000004E-4</v>
      </c>
      <c r="D6" s="30" t="s">
        <v>57</v>
      </c>
    </row>
    <row r="7" spans="1:4" x14ac:dyDescent="0.2">
      <c r="A7" s="13" t="s">
        <v>27</v>
      </c>
      <c r="B7" s="17">
        <v>41.666666666666664</v>
      </c>
      <c r="C7" s="18">
        <v>3.7415500000000004E-4</v>
      </c>
      <c r="D7" s="30" t="s">
        <v>57</v>
      </c>
    </row>
    <row r="8" spans="1:4" x14ac:dyDescent="0.2">
      <c r="A8" s="13" t="s">
        <v>27</v>
      </c>
      <c r="B8" s="15">
        <v>0</v>
      </c>
      <c r="C8" s="18">
        <v>4.17785E-4</v>
      </c>
      <c r="D8" s="30" t="s">
        <v>42</v>
      </c>
    </row>
    <row r="9" spans="1:4" x14ac:dyDescent="0.2">
      <c r="A9" s="13" t="s">
        <v>27</v>
      </c>
      <c r="B9" s="17">
        <v>41.666666666666664</v>
      </c>
      <c r="C9" s="18">
        <v>4.17785E-4</v>
      </c>
      <c r="D9" s="30" t="s">
        <v>42</v>
      </c>
    </row>
    <row r="10" spans="1:4" x14ac:dyDescent="0.2">
      <c r="A10" s="13" t="s">
        <v>27</v>
      </c>
      <c r="B10" s="15">
        <v>0</v>
      </c>
      <c r="C10" s="18">
        <v>3.3890500000000002E-4</v>
      </c>
      <c r="D10" s="30" t="s">
        <v>49</v>
      </c>
    </row>
    <row r="11" spans="1:4" x14ac:dyDescent="0.2">
      <c r="A11" s="13" t="s">
        <v>27</v>
      </c>
      <c r="B11" s="17">
        <v>41.666666666666664</v>
      </c>
      <c r="C11" s="18">
        <v>3.3890500000000002E-4</v>
      </c>
      <c r="D11" s="30" t="s">
        <v>49</v>
      </c>
    </row>
    <row r="12" spans="1:4" x14ac:dyDescent="0.2">
      <c r="A12" s="13" t="s">
        <v>27</v>
      </c>
      <c r="B12" s="15">
        <v>0</v>
      </c>
      <c r="C12" s="18">
        <v>2.1307999999999999E-4</v>
      </c>
      <c r="D12" s="30" t="s">
        <v>50</v>
      </c>
    </row>
    <row r="13" spans="1:4" x14ac:dyDescent="0.2">
      <c r="A13" s="13" t="s">
        <v>27</v>
      </c>
      <c r="B13" s="17">
        <v>41.666666666666664</v>
      </c>
      <c r="C13" s="18">
        <v>2.1307999999999999E-4</v>
      </c>
      <c r="D13" s="30" t="s">
        <v>50</v>
      </c>
    </row>
    <row r="14" spans="1:4" x14ac:dyDescent="0.2">
      <c r="A14" s="13" t="s">
        <v>27</v>
      </c>
      <c r="B14" s="15">
        <v>0</v>
      </c>
      <c r="C14" s="18">
        <v>3.2313999999999997E-4</v>
      </c>
      <c r="D14" s="47" t="s">
        <v>54</v>
      </c>
    </row>
    <row r="15" spans="1:4" x14ac:dyDescent="0.2">
      <c r="A15" s="13" t="s">
        <v>27</v>
      </c>
      <c r="B15" s="17">
        <v>41.666666666666664</v>
      </c>
      <c r="C15" s="18">
        <v>3.2313999999999997E-4</v>
      </c>
      <c r="D15" s="47" t="s">
        <v>54</v>
      </c>
    </row>
    <row r="16" spans="1:4" x14ac:dyDescent="0.2">
      <c r="A16" s="13" t="s">
        <v>29</v>
      </c>
      <c r="B16" s="18">
        <v>0</v>
      </c>
      <c r="C16" s="48">
        <v>3.6299999505600002E-6</v>
      </c>
      <c r="D16" s="18" t="s">
        <v>43</v>
      </c>
    </row>
    <row r="17" spans="1:4" x14ac:dyDescent="0.2">
      <c r="A17" s="13" t="s">
        <v>29</v>
      </c>
      <c r="B17" s="18">
        <v>51.528505966666664</v>
      </c>
      <c r="C17" s="48">
        <v>5.4299999675999993E-6</v>
      </c>
      <c r="D17" s="18" t="s">
        <v>43</v>
      </c>
    </row>
    <row r="18" spans="1:4" x14ac:dyDescent="0.2">
      <c r="A18" s="13" t="s">
        <v>29</v>
      </c>
      <c r="B18" s="18">
        <v>103.05701195</v>
      </c>
      <c r="C18" s="48">
        <v>4.8799999424399996E-6</v>
      </c>
      <c r="D18" s="18" t="s">
        <v>43</v>
      </c>
    </row>
    <row r="19" spans="1:4" x14ac:dyDescent="0.2">
      <c r="A19" s="13" t="s">
        <v>29</v>
      </c>
      <c r="B19" s="18">
        <v>103.05701195</v>
      </c>
      <c r="C19" s="48">
        <v>3.4999998335999997E-6</v>
      </c>
      <c r="D19" s="18" t="s">
        <v>43</v>
      </c>
    </row>
    <row r="20" spans="1:4" x14ac:dyDescent="0.2">
      <c r="A20" s="13" t="s">
        <v>29</v>
      </c>
      <c r="B20" s="18">
        <v>154.58551791666665</v>
      </c>
      <c r="C20" s="48">
        <v>1.5300000504E-6</v>
      </c>
      <c r="D20" s="18" t="s">
        <v>43</v>
      </c>
    </row>
    <row r="21" spans="1:4" x14ac:dyDescent="0.2">
      <c r="A21" s="13" t="s">
        <v>29</v>
      </c>
      <c r="B21" s="18">
        <v>154.58551791666665</v>
      </c>
      <c r="C21" s="48">
        <v>2.7100001174399995E-6</v>
      </c>
      <c r="D21" s="18" t="s">
        <v>43</v>
      </c>
    </row>
    <row r="22" spans="1:4" x14ac:dyDescent="0.2">
      <c r="A22" s="13" t="s">
        <v>29</v>
      </c>
      <c r="B22" s="18">
        <v>206.11402383333333</v>
      </c>
      <c r="C22" s="48">
        <v>2.41999996704E-6</v>
      </c>
      <c r="D22" s="18" t="s">
        <v>43</v>
      </c>
    </row>
    <row r="23" spans="1:4" x14ac:dyDescent="0.2">
      <c r="A23" s="13" t="s">
        <v>29</v>
      </c>
      <c r="B23" s="18">
        <v>206.11402383333333</v>
      </c>
      <c r="C23" s="48">
        <v>2.2800001173599997E-6</v>
      </c>
      <c r="D23" s="18" t="s">
        <v>43</v>
      </c>
    </row>
    <row r="24" spans="1:4" x14ac:dyDescent="0.2">
      <c r="A24" s="13" t="s">
        <v>29</v>
      </c>
      <c r="B24" s="18">
        <v>309.17103583333329</v>
      </c>
      <c r="C24" s="48">
        <v>3.2399999588399996E-6</v>
      </c>
      <c r="D24" s="18" t="s">
        <v>43</v>
      </c>
    </row>
    <row r="25" spans="1:4" x14ac:dyDescent="0.2">
      <c r="A25" s="13" t="s">
        <v>29</v>
      </c>
      <c r="B25" s="18">
        <v>309.17103583333329</v>
      </c>
      <c r="C25" s="48">
        <v>1.5199999585199998E-6</v>
      </c>
      <c r="D25" s="18" t="s">
        <v>43</v>
      </c>
    </row>
    <row r="26" spans="1:4" x14ac:dyDescent="0.2">
      <c r="A26" s="13" t="s">
        <v>29</v>
      </c>
      <c r="B26" s="18">
        <v>412.22804783333333</v>
      </c>
      <c r="C26" s="48">
        <v>3.6199998586799995E-6</v>
      </c>
      <c r="D26" s="18" t="s">
        <v>43</v>
      </c>
    </row>
    <row r="27" spans="1:4" x14ac:dyDescent="0.2">
      <c r="A27" s="13" t="s">
        <v>29</v>
      </c>
      <c r="B27" s="18">
        <v>412.22804783333333</v>
      </c>
      <c r="C27" s="48">
        <v>9.1799999432399988E-6</v>
      </c>
      <c r="D27" s="18" t="s">
        <v>43</v>
      </c>
    </row>
    <row r="28" spans="1:4" x14ac:dyDescent="0.2">
      <c r="A28" s="13" t="s">
        <v>29</v>
      </c>
      <c r="B28" s="18">
        <v>515.2850596666666</v>
      </c>
      <c r="C28" s="48">
        <v>5.9500000762799991E-6</v>
      </c>
      <c r="D28" s="18" t="s">
        <v>43</v>
      </c>
    </row>
    <row r="29" spans="1:4" x14ac:dyDescent="0.2">
      <c r="A29" s="13" t="s">
        <v>29</v>
      </c>
      <c r="B29" s="18">
        <v>515.2850596666666</v>
      </c>
      <c r="C29" s="48">
        <v>5.9100000679199994E-6</v>
      </c>
      <c r="D29" s="18" t="s">
        <v>43</v>
      </c>
    </row>
    <row r="30" spans="1:4" x14ac:dyDescent="0.2">
      <c r="A30" s="13" t="s">
        <v>29</v>
      </c>
      <c r="B30" s="18">
        <v>618.34207166666658</v>
      </c>
      <c r="C30" s="48">
        <v>5.1199999925999993E-6</v>
      </c>
      <c r="D30" s="18" t="s">
        <v>43</v>
      </c>
    </row>
    <row r="31" spans="1:4" x14ac:dyDescent="0.2">
      <c r="A31" s="13" t="s">
        <v>29</v>
      </c>
      <c r="B31" s="18">
        <v>618.34207166666658</v>
      </c>
      <c r="C31" s="48">
        <v>7.5600001433999993E-6</v>
      </c>
      <c r="D31" s="18" t="s">
        <v>43</v>
      </c>
    </row>
    <row r="32" spans="1:4" x14ac:dyDescent="0.2">
      <c r="A32" s="13" t="s">
        <v>29</v>
      </c>
      <c r="B32" s="18">
        <v>721.39908366666668</v>
      </c>
      <c r="C32" s="48">
        <v>5.0299998840000001E-6</v>
      </c>
      <c r="D32" s="18" t="s">
        <v>43</v>
      </c>
    </row>
    <row r="33" spans="1:4" x14ac:dyDescent="0.2">
      <c r="A33" s="13" t="s">
        <v>29</v>
      </c>
      <c r="B33" s="18">
        <v>824.45609566666667</v>
      </c>
      <c r="C33" s="48">
        <v>6.9300001015199986E-6</v>
      </c>
      <c r="D33" s="18" t="s">
        <v>43</v>
      </c>
    </row>
    <row r="34" spans="1:4" x14ac:dyDescent="0.2">
      <c r="A34" s="13" t="s">
        <v>29</v>
      </c>
      <c r="B34" s="18">
        <v>824.45609566666667</v>
      </c>
      <c r="C34" s="48">
        <v>1.1970000077399999E-5</v>
      </c>
      <c r="D34" s="18" t="s">
        <v>43</v>
      </c>
    </row>
    <row r="35" spans="1:4" x14ac:dyDescent="0.2">
      <c r="A35" s="13" t="s">
        <v>29</v>
      </c>
      <c r="B35" s="18">
        <v>1030.5701194999999</v>
      </c>
      <c r="C35" s="48">
        <v>1.3279999902239999E-5</v>
      </c>
      <c r="D35" s="18" t="s">
        <v>43</v>
      </c>
    </row>
    <row r="36" spans="1:4" x14ac:dyDescent="0.2">
      <c r="A36" s="13" t="s">
        <v>29</v>
      </c>
      <c r="B36" s="18">
        <v>1030.5701194999999</v>
      </c>
      <c r="C36" s="48">
        <v>1.79299998864E-5</v>
      </c>
      <c r="D36" s="18" t="s">
        <v>43</v>
      </c>
    </row>
    <row r="37" spans="1:4" x14ac:dyDescent="0.2">
      <c r="A37" s="13" t="s">
        <v>29</v>
      </c>
      <c r="B37" s="18">
        <v>1236.6841433333332</v>
      </c>
      <c r="C37" s="48">
        <v>2.3500000062839997E-5</v>
      </c>
      <c r="D37" s="18" t="s">
        <v>43</v>
      </c>
    </row>
    <row r="38" spans="1:4" x14ac:dyDescent="0.2">
      <c r="A38" s="13" t="s">
        <v>29</v>
      </c>
      <c r="B38" s="18">
        <v>1236.6841433333332</v>
      </c>
      <c r="C38" s="48">
        <v>2.7300000138719998E-5</v>
      </c>
      <c r="D38" s="18" t="s">
        <v>43</v>
      </c>
    </row>
    <row r="39" spans="1:4" x14ac:dyDescent="0.2">
      <c r="A39" s="13" t="s">
        <v>29</v>
      </c>
      <c r="B39" s="18">
        <v>1442.7981673333334</v>
      </c>
      <c r="C39" s="48">
        <v>2.5100000038079999E-5</v>
      </c>
      <c r="D39" s="18" t="s">
        <v>43</v>
      </c>
    </row>
    <row r="40" spans="1:4" x14ac:dyDescent="0.2">
      <c r="A40" s="13" t="s">
        <v>29</v>
      </c>
      <c r="B40" s="18">
        <v>1442.7981673333334</v>
      </c>
      <c r="C40" s="48">
        <v>3.8259999915239998E-5</v>
      </c>
      <c r="D40" s="18" t="s">
        <v>43</v>
      </c>
    </row>
    <row r="41" spans="1:4" x14ac:dyDescent="0.2">
      <c r="A41" s="13" t="s">
        <v>29</v>
      </c>
      <c r="B41" s="18">
        <v>1648.9121911666666</v>
      </c>
      <c r="C41" s="48">
        <v>3.4109999855999998E-5</v>
      </c>
      <c r="D41" s="18" t="s">
        <v>43</v>
      </c>
    </row>
    <row r="42" spans="1:4" x14ac:dyDescent="0.2">
      <c r="A42" s="13" t="s">
        <v>29</v>
      </c>
      <c r="B42" s="18">
        <v>1648.9121911666666</v>
      </c>
      <c r="C42" s="48">
        <v>5.7499999985639995E-5</v>
      </c>
      <c r="D42" s="18" t="s">
        <v>43</v>
      </c>
    </row>
    <row r="43" spans="1:4" x14ac:dyDescent="0.2">
      <c r="A43" s="13" t="s">
        <v>29</v>
      </c>
      <c r="B43" s="18">
        <v>1855.0262150000001</v>
      </c>
      <c r="C43" s="48">
        <v>4.6490000108879991E-5</v>
      </c>
      <c r="D43" s="18" t="s">
        <v>43</v>
      </c>
    </row>
    <row r="44" spans="1:4" x14ac:dyDescent="0.2">
      <c r="A44" s="13" t="s">
        <v>29</v>
      </c>
      <c r="B44" s="18">
        <v>1855.0262150000001</v>
      </c>
      <c r="C44" s="48">
        <v>7.3060000005239998E-5</v>
      </c>
      <c r="D44" s="18" t="s">
        <v>43</v>
      </c>
    </row>
    <row r="45" spans="1:4" x14ac:dyDescent="0.2">
      <c r="A45" s="13" t="s">
        <v>29</v>
      </c>
      <c r="B45" s="18">
        <v>2061.1402383333334</v>
      </c>
      <c r="C45" s="48">
        <v>5.4930000077039995E-5</v>
      </c>
      <c r="D45" s="18" t="s">
        <v>43</v>
      </c>
    </row>
    <row r="46" spans="1:4" x14ac:dyDescent="0.2">
      <c r="A46" s="13" t="s">
        <v>29</v>
      </c>
      <c r="B46" s="18">
        <v>2061.1402383333334</v>
      </c>
      <c r="C46" s="48">
        <v>8.8350000058199992E-5</v>
      </c>
      <c r="D46" s="18" t="s">
        <v>43</v>
      </c>
    </row>
    <row r="47" spans="1:4" x14ac:dyDescent="0.2">
      <c r="A47" s="13" t="s">
        <v>29</v>
      </c>
      <c r="B47" s="18">
        <v>2267.2542633333337</v>
      </c>
      <c r="C47" s="48">
        <v>7.3589999846640001E-5</v>
      </c>
      <c r="D47" s="18" t="s">
        <v>43</v>
      </c>
    </row>
    <row r="48" spans="1:4" x14ac:dyDescent="0.2">
      <c r="A48" s="13" t="s">
        <v>29</v>
      </c>
      <c r="B48" s="18">
        <v>2267.2542633333337</v>
      </c>
      <c r="C48" s="48">
        <v>1.0767999987803998E-4</v>
      </c>
      <c r="D48" s="18" t="s">
        <v>43</v>
      </c>
    </row>
    <row r="49" spans="1:4" x14ac:dyDescent="0.2">
      <c r="A49" s="13" t="s">
        <v>29</v>
      </c>
      <c r="B49" s="18">
        <v>2473.3682866666663</v>
      </c>
      <c r="C49" s="48">
        <v>8.1470000056919995E-5</v>
      </c>
      <c r="D49" s="18" t="s">
        <v>43</v>
      </c>
    </row>
    <row r="50" spans="1:4" x14ac:dyDescent="0.2">
      <c r="A50" s="13" t="s">
        <v>29</v>
      </c>
      <c r="B50" s="18">
        <v>2473.3682866666663</v>
      </c>
      <c r="C50" s="48">
        <v>1.2492999998148E-4</v>
      </c>
      <c r="D50" s="18" t="s">
        <v>43</v>
      </c>
    </row>
    <row r="51" spans="1:4" x14ac:dyDescent="0.2">
      <c r="A51" s="13" t="s">
        <v>29</v>
      </c>
      <c r="B51" s="18">
        <v>2679.4823099999999</v>
      </c>
      <c r="C51" s="48">
        <v>9.1459999900080004E-5</v>
      </c>
      <c r="D51" s="18" t="s">
        <v>43</v>
      </c>
    </row>
    <row r="52" spans="1:4" x14ac:dyDescent="0.2">
      <c r="A52" s="13" t="s">
        <v>29</v>
      </c>
      <c r="B52" s="18">
        <v>2679.4823099999999</v>
      </c>
      <c r="C52" s="48">
        <v>2.9121999998735996E-4</v>
      </c>
      <c r="D52" s="18" t="s">
        <v>43</v>
      </c>
    </row>
    <row r="53" spans="1:4" x14ac:dyDescent="0.2">
      <c r="A53" s="13" t="s">
        <v>29</v>
      </c>
      <c r="B53" s="18">
        <v>3091.7103583333333</v>
      </c>
      <c r="C53" s="48">
        <v>1.3316000017511999E-4</v>
      </c>
      <c r="D53" s="18" t="s">
        <v>43</v>
      </c>
    </row>
    <row r="54" spans="1:4" x14ac:dyDescent="0.2">
      <c r="A54" s="13" t="s">
        <v>29</v>
      </c>
      <c r="B54" s="18">
        <v>3091.7103583333333</v>
      </c>
      <c r="C54" s="48">
        <v>3.3542999997887996E-4</v>
      </c>
      <c r="D54" s="18" t="s">
        <v>43</v>
      </c>
    </row>
    <row r="55" spans="1:4" x14ac:dyDescent="0.2">
      <c r="A55" s="13" t="s">
        <v>29</v>
      </c>
      <c r="B55" s="18">
        <v>3503.9384066666667</v>
      </c>
      <c r="C55" s="48">
        <v>1.4656999983515999E-4</v>
      </c>
      <c r="D55" s="18" t="s">
        <v>43</v>
      </c>
    </row>
    <row r="56" spans="1:4" x14ac:dyDescent="0.2">
      <c r="A56" s="13" t="s">
        <v>29</v>
      </c>
      <c r="B56" s="18">
        <v>3503.9384066666667</v>
      </c>
      <c r="C56" s="48">
        <v>1.3631000002536E-4</v>
      </c>
      <c r="D56" s="18" t="s">
        <v>43</v>
      </c>
    </row>
    <row r="57" spans="1:4" x14ac:dyDescent="0.2">
      <c r="A57" s="13" t="s">
        <v>29</v>
      </c>
      <c r="B57" s="18">
        <v>3916.1664533333333</v>
      </c>
      <c r="C57" s="48">
        <v>1.9166000001059996E-4</v>
      </c>
      <c r="D57" s="18" t="s">
        <v>43</v>
      </c>
    </row>
    <row r="58" spans="1:4" x14ac:dyDescent="0.2">
      <c r="A58" s="13" t="s">
        <v>29</v>
      </c>
      <c r="B58" s="18">
        <v>3916.1664533333333</v>
      </c>
      <c r="C58" s="48">
        <v>1.7651999989919999E-4</v>
      </c>
      <c r="D58" s="18" t="s">
        <v>43</v>
      </c>
    </row>
    <row r="59" spans="1:4" x14ac:dyDescent="0.2">
      <c r="A59" s="13" t="s">
        <v>29</v>
      </c>
      <c r="B59" s="18">
        <v>4328.3945016666667</v>
      </c>
      <c r="C59" s="48">
        <v>2.4100000008659997E-4</v>
      </c>
      <c r="D59" s="18" t="s">
        <v>43</v>
      </c>
    </row>
    <row r="60" spans="1:4" x14ac:dyDescent="0.2">
      <c r="A60" s="13" t="s">
        <v>29</v>
      </c>
      <c r="B60" s="18">
        <v>4328.3945016666667</v>
      </c>
      <c r="C60" s="48">
        <v>2.1986000015783997E-4</v>
      </c>
      <c r="D60" s="18" t="s">
        <v>43</v>
      </c>
    </row>
    <row r="61" spans="1:4" x14ac:dyDescent="0.2">
      <c r="A61" s="13" t="s">
        <v>29</v>
      </c>
      <c r="B61" s="18">
        <v>4668.4826416666665</v>
      </c>
      <c r="C61" s="48">
        <v>2.8787000009531999E-4</v>
      </c>
      <c r="D61" s="18" t="s">
        <v>43</v>
      </c>
    </row>
    <row r="62" spans="1:4" x14ac:dyDescent="0.2">
      <c r="A62" s="13" t="s">
        <v>29</v>
      </c>
      <c r="B62" s="18">
        <v>4740.62255</v>
      </c>
      <c r="C62" s="48">
        <v>2.5985999989799999E-4</v>
      </c>
      <c r="D62" s="18" t="s">
        <v>43</v>
      </c>
    </row>
    <row r="63" spans="1:4" x14ac:dyDescent="0.2">
      <c r="A63" s="13" t="s">
        <v>29</v>
      </c>
      <c r="B63" s="18">
        <v>4884.9023666666662</v>
      </c>
      <c r="C63" s="48">
        <v>3.0587999999843996E-4</v>
      </c>
      <c r="D63" s="18" t="s">
        <v>43</v>
      </c>
    </row>
    <row r="64" spans="1:4" x14ac:dyDescent="0.2">
      <c r="A64" s="13" t="s">
        <v>29</v>
      </c>
      <c r="B64" s="18">
        <v>5152.8505966666671</v>
      </c>
      <c r="C64" s="48">
        <v>3.5137999999019999E-4</v>
      </c>
      <c r="D64" s="18" t="s">
        <v>43</v>
      </c>
    </row>
    <row r="65" spans="1:4" x14ac:dyDescent="0.2">
      <c r="A65" s="13" t="s">
        <v>29</v>
      </c>
      <c r="B65" s="18">
        <v>0</v>
      </c>
      <c r="C65" s="48">
        <v>4.0369999808599998E-5</v>
      </c>
      <c r="D65" s="18" t="s">
        <v>44</v>
      </c>
    </row>
    <row r="66" spans="1:4" x14ac:dyDescent="0.2">
      <c r="A66" s="13" t="s">
        <v>29</v>
      </c>
      <c r="B66" s="18">
        <v>51.528505966666664</v>
      </c>
      <c r="C66" s="48">
        <v>5.4449999967999999E-5</v>
      </c>
      <c r="D66" s="18" t="s">
        <v>44</v>
      </c>
    </row>
    <row r="67" spans="1:4" x14ac:dyDescent="0.2">
      <c r="A67" s="13" t="s">
        <v>29</v>
      </c>
      <c r="B67" s="18">
        <v>103.05701195</v>
      </c>
      <c r="C67" s="48">
        <v>5.8910000202409998E-5</v>
      </c>
      <c r="D67" s="18" t="s">
        <v>44</v>
      </c>
    </row>
    <row r="68" spans="1:4" x14ac:dyDescent="0.2">
      <c r="A68" s="13" t="s">
        <v>29</v>
      </c>
      <c r="B68" s="18">
        <v>103.05701195</v>
      </c>
      <c r="C68" s="48">
        <v>4.9849999925354997E-5</v>
      </c>
      <c r="D68" s="18" t="s">
        <v>44</v>
      </c>
    </row>
    <row r="69" spans="1:4" x14ac:dyDescent="0.2">
      <c r="A69" s="13" t="s">
        <v>29</v>
      </c>
      <c r="B69" s="18">
        <v>154.58551791666665</v>
      </c>
      <c r="C69" s="48">
        <v>3.5820000023534999E-5</v>
      </c>
      <c r="D69" s="18" t="s">
        <v>44</v>
      </c>
    </row>
    <row r="70" spans="1:4" x14ac:dyDescent="0.2">
      <c r="A70" s="13" t="s">
        <v>29</v>
      </c>
      <c r="B70" s="18">
        <v>154.58551791666665</v>
      </c>
      <c r="C70" s="48">
        <v>4.0640000120544996E-5</v>
      </c>
      <c r="D70" s="18" t="s">
        <v>44</v>
      </c>
    </row>
    <row r="71" spans="1:4" x14ac:dyDescent="0.2">
      <c r="A71" s="13" t="s">
        <v>29</v>
      </c>
      <c r="B71" s="18">
        <v>206.11402383333333</v>
      </c>
      <c r="C71" s="48">
        <v>3.7890000063475E-5</v>
      </c>
      <c r="D71" s="18" t="s">
        <v>44</v>
      </c>
    </row>
    <row r="72" spans="1:4" x14ac:dyDescent="0.2">
      <c r="A72" s="13" t="s">
        <v>29</v>
      </c>
      <c r="B72" s="18">
        <v>206.11402383333333</v>
      </c>
      <c r="C72" s="48">
        <v>3.6070000066449998E-5</v>
      </c>
      <c r="D72" s="18" t="s">
        <v>44</v>
      </c>
    </row>
    <row r="73" spans="1:4" x14ac:dyDescent="0.2">
      <c r="A73" s="13" t="s">
        <v>29</v>
      </c>
      <c r="B73" s="18">
        <v>309.17103583333329</v>
      </c>
      <c r="C73" s="48">
        <v>4.8219999994144999E-5</v>
      </c>
      <c r="D73" s="18" t="s">
        <v>44</v>
      </c>
    </row>
    <row r="74" spans="1:4" x14ac:dyDescent="0.2">
      <c r="A74" s="13" t="s">
        <v>29</v>
      </c>
      <c r="B74" s="18">
        <v>309.17103583333329</v>
      </c>
      <c r="C74" s="48">
        <v>2.6089999863864999E-5</v>
      </c>
      <c r="D74" s="18" t="s">
        <v>44</v>
      </c>
    </row>
    <row r="75" spans="1:4" x14ac:dyDescent="0.2">
      <c r="A75" s="13" t="s">
        <v>29</v>
      </c>
      <c r="B75" s="18">
        <v>412.22804783333333</v>
      </c>
      <c r="C75" s="48">
        <v>4.8410000059959998E-5</v>
      </c>
      <c r="D75" s="18" t="s">
        <v>44</v>
      </c>
    </row>
    <row r="76" spans="1:4" x14ac:dyDescent="0.2">
      <c r="A76" s="13" t="s">
        <v>29</v>
      </c>
      <c r="B76" s="18">
        <v>412.22804783333333</v>
      </c>
      <c r="C76" s="48">
        <v>7.8030000098189994E-5</v>
      </c>
      <c r="D76" s="18" t="s">
        <v>44</v>
      </c>
    </row>
    <row r="77" spans="1:4" x14ac:dyDescent="0.2">
      <c r="A77" s="13" t="s">
        <v>29</v>
      </c>
      <c r="B77" s="18">
        <v>515.2850596666666</v>
      </c>
      <c r="C77" s="48">
        <v>5.871000000208E-5</v>
      </c>
      <c r="D77" s="18" t="s">
        <v>44</v>
      </c>
    </row>
    <row r="78" spans="1:4" x14ac:dyDescent="0.2">
      <c r="A78" s="13" t="s">
        <v>29</v>
      </c>
      <c r="B78" s="18">
        <v>515.2850596666666</v>
      </c>
      <c r="C78" s="48">
        <v>4.6449999839704996E-5</v>
      </c>
      <c r="D78" s="18" t="s">
        <v>44</v>
      </c>
    </row>
    <row r="79" spans="1:4" x14ac:dyDescent="0.2">
      <c r="A79" s="13" t="s">
        <v>29</v>
      </c>
      <c r="B79" s="18">
        <v>618.34207166666658</v>
      </c>
      <c r="C79" s="48">
        <v>5.3600000154084999E-5</v>
      </c>
      <c r="D79" s="18" t="s">
        <v>44</v>
      </c>
    </row>
    <row r="80" spans="1:4" x14ac:dyDescent="0.2">
      <c r="A80" s="13" t="s">
        <v>29</v>
      </c>
      <c r="B80" s="18">
        <v>618.34207166666658</v>
      </c>
      <c r="C80" s="48">
        <v>4.4930000143175001E-5</v>
      </c>
      <c r="D80" s="18" t="s">
        <v>44</v>
      </c>
    </row>
    <row r="81" spans="1:4" x14ac:dyDescent="0.2">
      <c r="A81" s="13" t="s">
        <v>29</v>
      </c>
      <c r="B81" s="18">
        <v>721.39908366666668</v>
      </c>
      <c r="C81" s="48">
        <v>5.1900000111259995E-5</v>
      </c>
      <c r="D81" s="18" t="s">
        <v>44</v>
      </c>
    </row>
    <row r="82" spans="1:4" x14ac:dyDescent="0.2">
      <c r="A82" s="13" t="s">
        <v>29</v>
      </c>
      <c r="B82" s="18">
        <v>824.45609566666667</v>
      </c>
      <c r="C82" s="48">
        <v>4.6479999828254999E-5</v>
      </c>
      <c r="D82" s="18" t="s">
        <v>44</v>
      </c>
    </row>
    <row r="83" spans="1:4" x14ac:dyDescent="0.2">
      <c r="A83" s="13" t="s">
        <v>29</v>
      </c>
      <c r="B83" s="18">
        <v>824.45609566666667</v>
      </c>
      <c r="C83" s="48">
        <v>4.7499999853950001E-5</v>
      </c>
      <c r="D83" s="18" t="s">
        <v>44</v>
      </c>
    </row>
    <row r="84" spans="1:4" x14ac:dyDescent="0.2">
      <c r="A84" s="13" t="s">
        <v>29</v>
      </c>
      <c r="B84" s="18">
        <v>1030.5701194999999</v>
      </c>
      <c r="C84" s="48">
        <v>5.7600000010734995E-5</v>
      </c>
      <c r="D84" s="18" t="s">
        <v>44</v>
      </c>
    </row>
    <row r="85" spans="1:4" x14ac:dyDescent="0.2">
      <c r="A85" s="13" t="s">
        <v>29</v>
      </c>
      <c r="B85" s="18">
        <v>1030.5701194999999</v>
      </c>
      <c r="C85" s="48">
        <v>5.0640000177165001E-5</v>
      </c>
      <c r="D85" s="18" t="s">
        <v>44</v>
      </c>
    </row>
    <row r="86" spans="1:4" x14ac:dyDescent="0.2">
      <c r="A86" s="13" t="s">
        <v>29</v>
      </c>
      <c r="B86" s="18">
        <v>1236.6841433333332</v>
      </c>
      <c r="C86" s="48">
        <v>7.1650000181584992E-5</v>
      </c>
      <c r="D86" s="18" t="s">
        <v>44</v>
      </c>
    </row>
    <row r="87" spans="1:4" x14ac:dyDescent="0.2">
      <c r="A87" s="13" t="s">
        <v>29</v>
      </c>
      <c r="B87" s="18">
        <v>1236.6841433333332</v>
      </c>
      <c r="C87" s="48">
        <v>5.4659999887849994E-5</v>
      </c>
      <c r="D87" s="18" t="s">
        <v>44</v>
      </c>
    </row>
    <row r="88" spans="1:4" x14ac:dyDescent="0.2">
      <c r="A88" s="13" t="s">
        <v>29</v>
      </c>
      <c r="B88" s="18">
        <v>1442.7981673333334</v>
      </c>
      <c r="C88" s="48">
        <v>4.2529999814190002E-5</v>
      </c>
      <c r="D88" s="18" t="s">
        <v>44</v>
      </c>
    </row>
    <row r="89" spans="1:4" x14ac:dyDescent="0.2">
      <c r="A89" s="13" t="s">
        <v>29</v>
      </c>
      <c r="B89" s="18">
        <v>1442.7981673333334</v>
      </c>
      <c r="C89" s="48">
        <v>5.2510000016774997E-5</v>
      </c>
      <c r="D89" s="18" t="s">
        <v>44</v>
      </c>
    </row>
    <row r="90" spans="1:4" x14ac:dyDescent="0.2">
      <c r="A90" s="13" t="s">
        <v>29</v>
      </c>
      <c r="B90" s="18">
        <v>1648.9121911666666</v>
      </c>
      <c r="C90" s="48">
        <v>4.8609999845294999E-5</v>
      </c>
      <c r="D90" s="18" t="s">
        <v>44</v>
      </c>
    </row>
    <row r="91" spans="1:4" x14ac:dyDescent="0.2">
      <c r="A91" s="13" t="s">
        <v>29</v>
      </c>
      <c r="B91" s="18">
        <v>1648.9121911666666</v>
      </c>
      <c r="C91" s="48">
        <v>1.08020000133535E-4</v>
      </c>
      <c r="D91" s="18" t="s">
        <v>44</v>
      </c>
    </row>
    <row r="92" spans="1:4" x14ac:dyDescent="0.2">
      <c r="A92" s="13" t="s">
        <v>29</v>
      </c>
      <c r="B92" s="18">
        <v>1855.0262150000001</v>
      </c>
      <c r="C92" s="48">
        <v>5.5929999956459994E-5</v>
      </c>
      <c r="D92" s="18" t="s">
        <v>44</v>
      </c>
    </row>
    <row r="93" spans="1:4" x14ac:dyDescent="0.2">
      <c r="A93" s="13" t="s">
        <v>29</v>
      </c>
      <c r="B93" s="18">
        <v>1855.0262150000001</v>
      </c>
      <c r="C93" s="48">
        <v>1.1523000001002E-4</v>
      </c>
      <c r="D93" s="18" t="s">
        <v>44</v>
      </c>
    </row>
    <row r="94" spans="1:4" x14ac:dyDescent="0.2">
      <c r="A94" s="13" t="s">
        <v>29</v>
      </c>
      <c r="B94" s="18">
        <v>2061.1402383333334</v>
      </c>
      <c r="C94" s="48">
        <v>3.6329999828884999E-5</v>
      </c>
      <c r="D94" s="18" t="s">
        <v>44</v>
      </c>
    </row>
    <row r="95" spans="1:4" x14ac:dyDescent="0.2">
      <c r="A95" s="13" t="s">
        <v>29</v>
      </c>
      <c r="B95" s="18">
        <v>2061.1402383333334</v>
      </c>
      <c r="C95" s="48">
        <v>1.3310000010622E-4</v>
      </c>
      <c r="D95" s="18" t="s">
        <v>44</v>
      </c>
    </row>
    <row r="96" spans="1:4" x14ac:dyDescent="0.2">
      <c r="A96" s="13" t="s">
        <v>29</v>
      </c>
      <c r="B96" s="18">
        <v>2267.2542633333337</v>
      </c>
      <c r="C96" s="48">
        <v>6.2510000073394994E-5</v>
      </c>
      <c r="D96" s="18" t="s">
        <v>44</v>
      </c>
    </row>
    <row r="97" spans="1:4" x14ac:dyDescent="0.2">
      <c r="A97" s="13" t="s">
        <v>29</v>
      </c>
      <c r="B97" s="18">
        <v>2267.2542633333337</v>
      </c>
      <c r="C97" s="48">
        <v>1.1598000013876499E-4</v>
      </c>
      <c r="D97" s="18" t="s">
        <v>44</v>
      </c>
    </row>
    <row r="98" spans="1:4" x14ac:dyDescent="0.2">
      <c r="A98" s="13" t="s">
        <v>29</v>
      </c>
      <c r="B98" s="18">
        <v>2473.3682866666663</v>
      </c>
      <c r="C98" s="48">
        <v>6.7880000098819994E-5</v>
      </c>
      <c r="D98" s="18" t="s">
        <v>44</v>
      </c>
    </row>
    <row r="99" spans="1:4" x14ac:dyDescent="0.2">
      <c r="A99" s="13" t="s">
        <v>29</v>
      </c>
      <c r="B99" s="18">
        <v>2473.3682866666663</v>
      </c>
      <c r="C99" s="48">
        <v>8.868000018338999E-5</v>
      </c>
      <c r="D99" s="18" t="s">
        <v>44</v>
      </c>
    </row>
    <row r="100" spans="1:4" x14ac:dyDescent="0.2">
      <c r="A100" s="13" t="s">
        <v>29</v>
      </c>
      <c r="B100" s="18">
        <v>2679.4823099999999</v>
      </c>
      <c r="C100" s="48">
        <v>5.7090000205385002E-5</v>
      </c>
      <c r="D100" s="18" t="s">
        <v>44</v>
      </c>
    </row>
    <row r="101" spans="1:4" x14ac:dyDescent="0.2">
      <c r="A101" s="13" t="s">
        <v>29</v>
      </c>
      <c r="B101" s="18">
        <v>2679.4823099999999</v>
      </c>
      <c r="C101" s="48">
        <v>9.6499999965389991E-5</v>
      </c>
      <c r="D101" s="18" t="s">
        <v>44</v>
      </c>
    </row>
    <row r="102" spans="1:4" x14ac:dyDescent="0.2">
      <c r="A102" s="13" t="s">
        <v>29</v>
      </c>
      <c r="B102" s="18">
        <v>3091.7103583333333</v>
      </c>
      <c r="C102" s="48">
        <v>6.9520000164544998E-5</v>
      </c>
      <c r="D102" s="18" t="s">
        <v>44</v>
      </c>
    </row>
    <row r="103" spans="1:4" x14ac:dyDescent="0.2">
      <c r="A103" s="13" t="s">
        <v>29</v>
      </c>
      <c r="B103" s="18">
        <v>3091.7103583333333</v>
      </c>
      <c r="C103" s="48">
        <v>8.7010000129115003E-5</v>
      </c>
      <c r="D103" s="18" t="s">
        <v>44</v>
      </c>
    </row>
    <row r="104" spans="1:4" x14ac:dyDescent="0.2">
      <c r="A104" s="13" t="s">
        <v>29</v>
      </c>
      <c r="B104" s="18">
        <v>3503.9384066666667</v>
      </c>
      <c r="C104" s="48">
        <v>5.7880000042199996E-5</v>
      </c>
      <c r="D104" s="18" t="s">
        <v>44</v>
      </c>
    </row>
    <row r="105" spans="1:4" x14ac:dyDescent="0.2">
      <c r="A105" s="13" t="s">
        <v>29</v>
      </c>
      <c r="B105" s="18">
        <v>3503.9384066666667</v>
      </c>
      <c r="C105" s="48">
        <v>7.0650000009925E-5</v>
      </c>
      <c r="D105" s="18" t="s">
        <v>44</v>
      </c>
    </row>
    <row r="106" spans="1:4" x14ac:dyDescent="0.2">
      <c r="A106" s="13" t="s">
        <v>29</v>
      </c>
      <c r="B106" s="18">
        <v>3916.1664533333333</v>
      </c>
      <c r="C106" s="48">
        <v>6.7970000064469997E-5</v>
      </c>
      <c r="D106" s="18" t="s">
        <v>44</v>
      </c>
    </row>
    <row r="107" spans="1:4" x14ac:dyDescent="0.2">
      <c r="A107" s="13" t="s">
        <v>29</v>
      </c>
      <c r="B107" s="18">
        <v>3916.1664533333333</v>
      </c>
      <c r="C107" s="48">
        <v>6.0440000033454993E-5</v>
      </c>
      <c r="D107" s="18" t="s">
        <v>44</v>
      </c>
    </row>
    <row r="108" spans="1:4" x14ac:dyDescent="0.2">
      <c r="A108" s="13" t="s">
        <v>29</v>
      </c>
      <c r="B108" s="18">
        <v>4328.3945016666667</v>
      </c>
      <c r="C108" s="48">
        <v>7.6589999817799998E-5</v>
      </c>
      <c r="D108" s="18" t="s">
        <v>44</v>
      </c>
    </row>
    <row r="109" spans="1:4" x14ac:dyDescent="0.2">
      <c r="A109" s="13" t="s">
        <v>29</v>
      </c>
      <c r="B109" s="18">
        <v>4328.3945016666667</v>
      </c>
      <c r="C109" s="48">
        <v>6.8519999992885006E-5</v>
      </c>
      <c r="D109" s="18" t="s">
        <v>44</v>
      </c>
    </row>
    <row r="110" spans="1:4" x14ac:dyDescent="0.2">
      <c r="A110" s="13" t="s">
        <v>29</v>
      </c>
      <c r="B110" s="18">
        <v>4668.4826416666665</v>
      </c>
      <c r="C110" s="48">
        <v>1.3231999998892499E-4</v>
      </c>
      <c r="D110" s="18" t="s">
        <v>44</v>
      </c>
    </row>
    <row r="111" spans="1:4" x14ac:dyDescent="0.2">
      <c r="A111" s="13" t="s">
        <v>29</v>
      </c>
      <c r="B111" s="18">
        <v>4740.62255</v>
      </c>
      <c r="C111" s="48">
        <v>7.637000017843E-5</v>
      </c>
      <c r="D111" s="18" t="s">
        <v>44</v>
      </c>
    </row>
    <row r="112" spans="1:4" x14ac:dyDescent="0.2">
      <c r="A112" s="13" t="s">
        <v>29</v>
      </c>
      <c r="B112" s="18">
        <v>4884.9023666666662</v>
      </c>
      <c r="C112" s="48">
        <v>1.6080000004725997E-4</v>
      </c>
      <c r="D112" s="18" t="s">
        <v>44</v>
      </c>
    </row>
    <row r="113" spans="1:4" x14ac:dyDescent="0.2">
      <c r="A113" s="13" t="s">
        <v>29</v>
      </c>
      <c r="B113" s="18">
        <v>5152.8505966666671</v>
      </c>
      <c r="C113" s="48">
        <v>9.0440000203314994E-5</v>
      </c>
      <c r="D113" s="18" t="s">
        <v>44</v>
      </c>
    </row>
    <row r="114" spans="1:4" x14ac:dyDescent="0.2">
      <c r="A114" s="13" t="s">
        <v>29</v>
      </c>
      <c r="B114" s="18">
        <v>0</v>
      </c>
      <c r="C114" s="48">
        <v>2.7269999823959999E-5</v>
      </c>
      <c r="D114" s="16" t="s">
        <v>57</v>
      </c>
    </row>
    <row r="115" spans="1:4" x14ac:dyDescent="0.2">
      <c r="A115" s="13" t="s">
        <v>29</v>
      </c>
      <c r="B115" s="18">
        <v>51.528505966666664</v>
      </c>
      <c r="C115" s="48">
        <v>3.6929999839395005E-5</v>
      </c>
      <c r="D115" s="16" t="s">
        <v>57</v>
      </c>
    </row>
    <row r="116" spans="1:4" x14ac:dyDescent="0.2">
      <c r="A116" s="13" t="s">
        <v>29</v>
      </c>
      <c r="B116" s="18">
        <v>103.05701195</v>
      </c>
      <c r="C116" s="48">
        <v>4.2880000101050003E-5</v>
      </c>
      <c r="D116" s="16" t="s">
        <v>57</v>
      </c>
    </row>
    <row r="117" spans="1:4" x14ac:dyDescent="0.2">
      <c r="A117" s="13" t="s">
        <v>29</v>
      </c>
      <c r="B117" s="18">
        <v>103.05701195</v>
      </c>
      <c r="C117" s="48">
        <v>2.9599999949690005E-5</v>
      </c>
      <c r="D117" s="16" t="s">
        <v>57</v>
      </c>
    </row>
    <row r="118" spans="1:4" x14ac:dyDescent="0.2">
      <c r="A118" s="13" t="s">
        <v>29</v>
      </c>
      <c r="B118" s="18">
        <v>154.58551791666665</v>
      </c>
      <c r="C118" s="48">
        <v>2.1280000147875001E-5</v>
      </c>
      <c r="D118" s="16" t="s">
        <v>57</v>
      </c>
    </row>
    <row r="119" spans="1:4" x14ac:dyDescent="0.2">
      <c r="A119" s="13" t="s">
        <v>29</v>
      </c>
      <c r="B119" s="18">
        <v>154.58551791666665</v>
      </c>
      <c r="C119" s="48">
        <v>2.2260000019300002E-5</v>
      </c>
      <c r="D119" s="16" t="s">
        <v>57</v>
      </c>
    </row>
    <row r="120" spans="1:4" x14ac:dyDescent="0.2">
      <c r="A120" s="13" t="s">
        <v>29</v>
      </c>
      <c r="B120" s="18">
        <v>206.11402383333333</v>
      </c>
      <c r="C120" s="48">
        <v>2.4380000038955002E-5</v>
      </c>
      <c r="D120" s="16" t="s">
        <v>57</v>
      </c>
    </row>
    <row r="121" spans="1:4" x14ac:dyDescent="0.2">
      <c r="A121" s="13" t="s">
        <v>29</v>
      </c>
      <c r="B121" s="18">
        <v>206.11402383333333</v>
      </c>
      <c r="C121" s="48">
        <v>2.6809999823224999E-5</v>
      </c>
      <c r="D121" s="16" t="s">
        <v>57</v>
      </c>
    </row>
    <row r="122" spans="1:4" x14ac:dyDescent="0.2">
      <c r="A122" s="13" t="s">
        <v>29</v>
      </c>
      <c r="B122" s="18">
        <v>309.17103583333329</v>
      </c>
      <c r="C122" s="48">
        <v>2.8779999980915005E-5</v>
      </c>
      <c r="D122" s="16" t="s">
        <v>57</v>
      </c>
    </row>
    <row r="123" spans="1:4" x14ac:dyDescent="0.2">
      <c r="A123" s="13" t="s">
        <v>29</v>
      </c>
      <c r="B123" s="18">
        <v>309.17103583333329</v>
      </c>
      <c r="C123" s="48">
        <v>1.5400000171015002E-5</v>
      </c>
      <c r="D123" s="16" t="s">
        <v>57</v>
      </c>
    </row>
    <row r="124" spans="1:4" x14ac:dyDescent="0.2">
      <c r="A124" s="13" t="s">
        <v>29</v>
      </c>
      <c r="B124" s="18">
        <v>412.22804783333333</v>
      </c>
      <c r="C124" s="48">
        <v>3.0930000122625004E-5</v>
      </c>
      <c r="D124" s="16" t="s">
        <v>57</v>
      </c>
    </row>
    <row r="125" spans="1:4" x14ac:dyDescent="0.2">
      <c r="A125" s="13" t="s">
        <v>29</v>
      </c>
      <c r="B125" s="18">
        <v>412.22804783333333</v>
      </c>
      <c r="C125" s="48">
        <v>5.293999987311001E-5</v>
      </c>
      <c r="D125" s="16" t="s">
        <v>57</v>
      </c>
    </row>
    <row r="126" spans="1:4" x14ac:dyDescent="0.2">
      <c r="A126" s="13" t="s">
        <v>29</v>
      </c>
      <c r="B126" s="18">
        <v>515.2850596666666</v>
      </c>
      <c r="C126" s="48">
        <v>3.7119999864100005E-5</v>
      </c>
      <c r="D126" s="16" t="s">
        <v>57</v>
      </c>
    </row>
    <row r="127" spans="1:4" x14ac:dyDescent="0.2">
      <c r="A127" s="13" t="s">
        <v>29</v>
      </c>
      <c r="B127" s="18">
        <v>515.2850596666666</v>
      </c>
      <c r="C127" s="48">
        <v>3.0020000161840004E-5</v>
      </c>
      <c r="D127" s="16" t="s">
        <v>57</v>
      </c>
    </row>
    <row r="128" spans="1:4" x14ac:dyDescent="0.2">
      <c r="A128" s="13" t="s">
        <v>29</v>
      </c>
      <c r="B128" s="18">
        <v>618.34207166666658</v>
      </c>
      <c r="C128" s="48">
        <v>3.5520000089290004E-5</v>
      </c>
      <c r="D128" s="16" t="s">
        <v>57</v>
      </c>
    </row>
    <row r="129" spans="1:4" x14ac:dyDescent="0.2">
      <c r="A129" s="13" t="s">
        <v>29</v>
      </c>
      <c r="B129" s="18">
        <v>618.34207166666658</v>
      </c>
      <c r="C129" s="48">
        <v>2.9800000015080005E-5</v>
      </c>
      <c r="D129" s="16" t="s">
        <v>57</v>
      </c>
    </row>
    <row r="130" spans="1:4" x14ac:dyDescent="0.2">
      <c r="A130" s="13" t="s">
        <v>29</v>
      </c>
      <c r="B130" s="18">
        <v>721.39908366666668</v>
      </c>
      <c r="C130" s="48">
        <v>3.4030000013705004E-5</v>
      </c>
      <c r="D130" s="16" t="s">
        <v>57</v>
      </c>
    </row>
    <row r="131" spans="1:4" x14ac:dyDescent="0.2">
      <c r="A131" s="13" t="s">
        <v>29</v>
      </c>
      <c r="B131" s="18">
        <v>824.45609566666667</v>
      </c>
      <c r="C131" s="48">
        <v>3.1490000156055004E-5</v>
      </c>
      <c r="D131" s="16" t="s">
        <v>57</v>
      </c>
    </row>
    <row r="132" spans="1:4" x14ac:dyDescent="0.2">
      <c r="A132" s="13" t="s">
        <v>29</v>
      </c>
      <c r="B132" s="18">
        <v>824.45609566666667</v>
      </c>
      <c r="C132" s="48">
        <v>2.8080000126205004E-5</v>
      </c>
      <c r="D132" s="16" t="s">
        <v>57</v>
      </c>
    </row>
    <row r="133" spans="1:4" x14ac:dyDescent="0.2">
      <c r="A133" s="13" t="s">
        <v>29</v>
      </c>
      <c r="B133" s="18">
        <v>1030.5701194999999</v>
      </c>
      <c r="C133" s="48">
        <v>3.4819999860425005E-5</v>
      </c>
      <c r="D133" s="16" t="s">
        <v>57</v>
      </c>
    </row>
    <row r="134" spans="1:4" x14ac:dyDescent="0.2">
      <c r="A134" s="13" t="s">
        <v>29</v>
      </c>
      <c r="B134" s="18">
        <v>1030.5701194999999</v>
      </c>
      <c r="C134" s="48">
        <v>3.0949999829840005E-5</v>
      </c>
      <c r="D134" s="16" t="s">
        <v>57</v>
      </c>
    </row>
    <row r="135" spans="1:4" x14ac:dyDescent="0.2">
      <c r="A135" s="13" t="s">
        <v>29</v>
      </c>
      <c r="B135" s="18">
        <v>1236.6841433333332</v>
      </c>
      <c r="C135" s="48">
        <v>5.307000002786001E-5</v>
      </c>
      <c r="D135" s="16" t="s">
        <v>57</v>
      </c>
    </row>
    <row r="136" spans="1:4" x14ac:dyDescent="0.2">
      <c r="A136" s="13" t="s">
        <v>29</v>
      </c>
      <c r="B136" s="18">
        <v>1236.6841433333332</v>
      </c>
      <c r="C136" s="48">
        <v>3.8280000093700004E-5</v>
      </c>
      <c r="D136" s="16" t="s">
        <v>57</v>
      </c>
    </row>
    <row r="137" spans="1:4" x14ac:dyDescent="0.2">
      <c r="A137" s="13" t="s">
        <v>29</v>
      </c>
      <c r="B137" s="18">
        <v>1442.7981673333334</v>
      </c>
      <c r="C137" s="48">
        <v>2.7720000158165004E-5</v>
      </c>
      <c r="D137" s="16" t="s">
        <v>57</v>
      </c>
    </row>
    <row r="138" spans="1:4" x14ac:dyDescent="0.2">
      <c r="A138" s="13" t="s">
        <v>29</v>
      </c>
      <c r="B138" s="18">
        <v>1442.7981673333334</v>
      </c>
      <c r="C138" s="48">
        <v>3.6180000155415004E-5</v>
      </c>
      <c r="D138" s="16" t="s">
        <v>57</v>
      </c>
    </row>
    <row r="139" spans="1:4" x14ac:dyDescent="0.2">
      <c r="A139" s="13" t="s">
        <v>29</v>
      </c>
      <c r="B139" s="18">
        <v>1648.9121911666666</v>
      </c>
      <c r="C139" s="48">
        <v>3.2750000044195004E-5</v>
      </c>
      <c r="D139" s="16" t="s">
        <v>57</v>
      </c>
    </row>
    <row r="140" spans="1:4" x14ac:dyDescent="0.2">
      <c r="A140" s="13" t="s">
        <v>29</v>
      </c>
      <c r="B140" s="18">
        <v>1648.9121911666666</v>
      </c>
      <c r="C140" s="48">
        <v>7.2459999969370009E-5</v>
      </c>
      <c r="D140" s="16" t="s">
        <v>57</v>
      </c>
    </row>
    <row r="141" spans="1:4" x14ac:dyDescent="0.2">
      <c r="A141" s="13" t="s">
        <v>29</v>
      </c>
      <c r="B141" s="18">
        <v>1855.0262150000001</v>
      </c>
      <c r="C141" s="48">
        <v>3.7290000181590003E-5</v>
      </c>
      <c r="D141" s="16" t="s">
        <v>57</v>
      </c>
    </row>
    <row r="142" spans="1:4" x14ac:dyDescent="0.2">
      <c r="A142" s="13" t="s">
        <v>29</v>
      </c>
      <c r="B142" s="18">
        <v>1855.0262150000001</v>
      </c>
      <c r="C142" s="48">
        <v>7.2429999847315002E-5</v>
      </c>
      <c r="D142" s="16" t="s">
        <v>57</v>
      </c>
    </row>
    <row r="143" spans="1:4" x14ac:dyDescent="0.2">
      <c r="A143" s="13" t="s">
        <v>29</v>
      </c>
      <c r="B143" s="18">
        <v>2061.1402383333334</v>
      </c>
      <c r="C143" s="48">
        <v>2.5559999975770005E-5</v>
      </c>
      <c r="D143" s="16" t="s">
        <v>57</v>
      </c>
    </row>
    <row r="144" spans="1:4" x14ac:dyDescent="0.2">
      <c r="A144" s="13" t="s">
        <v>29</v>
      </c>
      <c r="B144" s="18">
        <v>2061.1402383333334</v>
      </c>
      <c r="C144" s="48">
        <v>8.1919999919415008E-5</v>
      </c>
      <c r="D144" s="16" t="s">
        <v>57</v>
      </c>
    </row>
    <row r="145" spans="1:4" x14ac:dyDescent="0.2">
      <c r="A145" s="13" t="s">
        <v>29</v>
      </c>
      <c r="B145" s="18">
        <v>2267.2542633333337</v>
      </c>
      <c r="C145" s="48">
        <v>4.6529999984875004E-5</v>
      </c>
      <c r="D145" s="16" t="s">
        <v>57</v>
      </c>
    </row>
    <row r="146" spans="1:4" x14ac:dyDescent="0.2">
      <c r="A146" s="13" t="s">
        <v>29</v>
      </c>
      <c r="B146" s="18">
        <v>2267.2542633333337</v>
      </c>
      <c r="C146" s="48">
        <v>7.9509999842360016E-5</v>
      </c>
      <c r="D146" s="16" t="s">
        <v>57</v>
      </c>
    </row>
    <row r="147" spans="1:4" x14ac:dyDescent="0.2">
      <c r="A147" s="13" t="s">
        <v>29</v>
      </c>
      <c r="B147" s="18">
        <v>2473.3682866666663</v>
      </c>
      <c r="C147" s="48">
        <v>4.4740000185360003E-5</v>
      </c>
      <c r="D147" s="16" t="s">
        <v>57</v>
      </c>
    </row>
    <row r="148" spans="1:4" x14ac:dyDescent="0.2">
      <c r="A148" s="13" t="s">
        <v>29</v>
      </c>
      <c r="B148" s="18">
        <v>2473.3682866666663</v>
      </c>
      <c r="C148" s="48">
        <v>6.031999996624001E-5</v>
      </c>
      <c r="D148" s="16" t="s">
        <v>57</v>
      </c>
    </row>
    <row r="149" spans="1:4" x14ac:dyDescent="0.2">
      <c r="A149" s="13" t="s">
        <v>29</v>
      </c>
      <c r="B149" s="18">
        <v>2679.4823099999999</v>
      </c>
      <c r="C149" s="48">
        <v>3.6959999961450004E-5</v>
      </c>
      <c r="D149" s="16" t="s">
        <v>57</v>
      </c>
    </row>
    <row r="150" spans="1:4" x14ac:dyDescent="0.2">
      <c r="A150" s="13" t="s">
        <v>29</v>
      </c>
      <c r="B150" s="18">
        <v>2679.4823099999999</v>
      </c>
      <c r="C150" s="48">
        <v>6.1429999992415003E-5</v>
      </c>
      <c r="D150" s="16" t="s">
        <v>57</v>
      </c>
    </row>
    <row r="151" spans="1:4" x14ac:dyDescent="0.2">
      <c r="A151" s="13" t="s">
        <v>29</v>
      </c>
      <c r="B151" s="18">
        <v>3091.7103583333333</v>
      </c>
      <c r="C151" s="48">
        <v>4.7000000026295003E-5</v>
      </c>
      <c r="D151" s="16" t="s">
        <v>57</v>
      </c>
    </row>
    <row r="152" spans="1:4" x14ac:dyDescent="0.2">
      <c r="A152" s="13" t="s">
        <v>29</v>
      </c>
      <c r="B152" s="18">
        <v>3091.7103583333333</v>
      </c>
      <c r="C152" s="48">
        <v>7.5360000169215008E-5</v>
      </c>
      <c r="D152" s="16" t="s">
        <v>57</v>
      </c>
    </row>
    <row r="153" spans="1:4" x14ac:dyDescent="0.2">
      <c r="A153" s="13" t="s">
        <v>29</v>
      </c>
      <c r="B153" s="18">
        <v>3503.9384066666667</v>
      </c>
      <c r="C153" s="48">
        <v>3.5330000064585004E-5</v>
      </c>
      <c r="D153" s="16" t="s">
        <v>57</v>
      </c>
    </row>
    <row r="154" spans="1:4" x14ac:dyDescent="0.2">
      <c r="A154" s="13" t="s">
        <v>29</v>
      </c>
      <c r="B154" s="18">
        <v>3503.9384066666667</v>
      </c>
      <c r="C154" s="48">
        <v>4.6609999936200004E-5</v>
      </c>
      <c r="D154" s="16" t="s">
        <v>57</v>
      </c>
    </row>
    <row r="155" spans="1:4" x14ac:dyDescent="0.2">
      <c r="A155" s="13" t="s">
        <v>29</v>
      </c>
      <c r="B155" s="18">
        <v>3916.1664533333333</v>
      </c>
      <c r="C155" s="48">
        <v>4.499000008002001E-5</v>
      </c>
      <c r="D155" s="16" t="s">
        <v>57</v>
      </c>
    </row>
    <row r="156" spans="1:4" x14ac:dyDescent="0.2">
      <c r="A156" s="13" t="s">
        <v>29</v>
      </c>
      <c r="B156" s="18">
        <v>3916.1664533333333</v>
      </c>
      <c r="C156" s="48">
        <v>4.0799999869980005E-5</v>
      </c>
      <c r="D156" s="16" t="s">
        <v>57</v>
      </c>
    </row>
    <row r="157" spans="1:4" x14ac:dyDescent="0.2">
      <c r="A157" s="13" t="s">
        <v>29</v>
      </c>
      <c r="B157" s="18">
        <v>4328.3945016666667</v>
      </c>
      <c r="C157" s="48">
        <v>6.077999996697501E-5</v>
      </c>
      <c r="D157" s="16" t="s">
        <v>57</v>
      </c>
    </row>
    <row r="158" spans="1:4" x14ac:dyDescent="0.2">
      <c r="A158" s="13" t="s">
        <v>29</v>
      </c>
      <c r="B158" s="18">
        <v>4328.3945016666667</v>
      </c>
      <c r="C158" s="48">
        <v>5.217000010776001E-5</v>
      </c>
      <c r="D158" s="16" t="s">
        <v>57</v>
      </c>
    </row>
    <row r="159" spans="1:4" x14ac:dyDescent="0.2">
      <c r="A159" s="13" t="s">
        <v>29</v>
      </c>
      <c r="B159" s="18">
        <v>4668.4826416666665</v>
      </c>
      <c r="C159" s="48">
        <v>8.6540000008135008E-5</v>
      </c>
      <c r="D159" s="16" t="s">
        <v>57</v>
      </c>
    </row>
    <row r="160" spans="1:4" x14ac:dyDescent="0.2">
      <c r="A160" s="13" t="s">
        <v>29</v>
      </c>
      <c r="B160" s="18">
        <v>4740.62255</v>
      </c>
      <c r="C160" s="48">
        <v>6.0430000039620009E-5</v>
      </c>
      <c r="D160" s="16" t="s">
        <v>57</v>
      </c>
    </row>
    <row r="161" spans="1:4" x14ac:dyDescent="0.2">
      <c r="A161" s="13" t="s">
        <v>29</v>
      </c>
      <c r="B161" s="18">
        <v>4884.9023666666662</v>
      </c>
      <c r="C161" s="48">
        <v>1.0458000006949501E-4</v>
      </c>
      <c r="D161" s="16" t="s">
        <v>57</v>
      </c>
    </row>
    <row r="162" spans="1:4" x14ac:dyDescent="0.2">
      <c r="A162" s="13" t="s">
        <v>29</v>
      </c>
      <c r="B162" s="18">
        <v>5152.8505966666671</v>
      </c>
      <c r="C162" s="48">
        <v>7.7170000050100001E-5</v>
      </c>
      <c r="D162" s="16" t="s">
        <v>57</v>
      </c>
    </row>
    <row r="163" spans="1:4" x14ac:dyDescent="0.2">
      <c r="A163" s="13" t="s">
        <v>29</v>
      </c>
      <c r="B163" s="18">
        <v>0</v>
      </c>
      <c r="C163" s="48">
        <v>5.3199998242700003E-6</v>
      </c>
      <c r="D163" s="30" t="s">
        <v>42</v>
      </c>
    </row>
    <row r="164" spans="1:4" x14ac:dyDescent="0.2">
      <c r="A164" s="13" t="s">
        <v>29</v>
      </c>
      <c r="B164" s="18">
        <v>51.528505966666664</v>
      </c>
      <c r="C164" s="48">
        <v>9.0900001693549994E-6</v>
      </c>
      <c r="D164" s="30" t="s">
        <v>42</v>
      </c>
    </row>
    <row r="165" spans="1:4" x14ac:dyDescent="0.2">
      <c r="A165" s="13" t="s">
        <v>29</v>
      </c>
      <c r="B165" s="18">
        <v>103.05701195</v>
      </c>
      <c r="C165" s="48">
        <v>9.0100001908450003E-6</v>
      </c>
      <c r="D165" s="30" t="s">
        <v>42</v>
      </c>
    </row>
    <row r="166" spans="1:4" x14ac:dyDescent="0.2">
      <c r="A166" s="13" t="s">
        <v>29</v>
      </c>
      <c r="B166" s="18">
        <v>103.05701195</v>
      </c>
      <c r="C166" s="48">
        <v>5.8400001023699998E-6</v>
      </c>
      <c r="D166" s="30" t="s">
        <v>42</v>
      </c>
    </row>
    <row r="167" spans="1:4" x14ac:dyDescent="0.2">
      <c r="A167" s="13" t="s">
        <v>29</v>
      </c>
      <c r="B167" s="18">
        <v>154.58551791666665</v>
      </c>
      <c r="C167" s="48">
        <v>2.100000062565E-6</v>
      </c>
      <c r="D167" s="30" t="s">
        <v>42</v>
      </c>
    </row>
    <row r="168" spans="1:4" x14ac:dyDescent="0.2">
      <c r="A168" s="13" t="s">
        <v>29</v>
      </c>
      <c r="B168" s="18">
        <v>154.58551791666665</v>
      </c>
      <c r="C168" s="48">
        <v>5.7699998078350005E-6</v>
      </c>
      <c r="D168" s="30" t="s">
        <v>42</v>
      </c>
    </row>
    <row r="169" spans="1:4" x14ac:dyDescent="0.2">
      <c r="A169" s="13" t="s">
        <v>29</v>
      </c>
      <c r="B169" s="18">
        <v>206.11402383333333</v>
      </c>
      <c r="C169" s="48">
        <v>6.5000001339700001E-6</v>
      </c>
      <c r="D169" s="30" t="s">
        <v>42</v>
      </c>
    </row>
    <row r="170" spans="1:4" x14ac:dyDescent="0.2">
      <c r="A170" s="13" t="s">
        <v>29</v>
      </c>
      <c r="B170" s="18">
        <v>206.11402383333333</v>
      </c>
      <c r="C170" s="48">
        <v>8.2899999664699994E-6</v>
      </c>
      <c r="D170" s="30" t="s">
        <v>42</v>
      </c>
    </row>
    <row r="171" spans="1:4" x14ac:dyDescent="0.2">
      <c r="A171" s="13" t="s">
        <v>29</v>
      </c>
      <c r="B171" s="18">
        <v>309.17103583333329</v>
      </c>
      <c r="C171" s="48">
        <v>1.1420000065689999E-5</v>
      </c>
      <c r="D171" s="30" t="s">
        <v>42</v>
      </c>
    </row>
    <row r="172" spans="1:4" x14ac:dyDescent="0.2">
      <c r="A172" s="13" t="s">
        <v>29</v>
      </c>
      <c r="B172" s="18">
        <v>309.17103583333329</v>
      </c>
      <c r="C172" s="48">
        <v>1.2240000054309999E-5</v>
      </c>
      <c r="D172" s="30" t="s">
        <v>42</v>
      </c>
    </row>
    <row r="173" spans="1:4" x14ac:dyDescent="0.2">
      <c r="A173" s="13" t="s">
        <v>29</v>
      </c>
      <c r="B173" s="18">
        <v>412.22804783333333</v>
      </c>
      <c r="C173" s="48">
        <v>2.2050000030254998E-5</v>
      </c>
      <c r="D173" s="30" t="s">
        <v>42</v>
      </c>
    </row>
    <row r="174" spans="1:4" x14ac:dyDescent="0.2">
      <c r="A174" s="13" t="s">
        <v>29</v>
      </c>
      <c r="B174" s="18">
        <v>412.22804783333333</v>
      </c>
      <c r="C174" s="48">
        <v>3.9420000064320001E-5</v>
      </c>
      <c r="D174" s="30" t="s">
        <v>42</v>
      </c>
    </row>
    <row r="175" spans="1:4" x14ac:dyDescent="0.2">
      <c r="A175" s="13" t="s">
        <v>29</v>
      </c>
      <c r="B175" s="18">
        <v>515.2850596666666</v>
      </c>
      <c r="C175" s="48">
        <v>4.1419999944855004E-5</v>
      </c>
      <c r="D175" s="30" t="s">
        <v>42</v>
      </c>
    </row>
    <row r="176" spans="1:4" x14ac:dyDescent="0.2">
      <c r="A176" s="13" t="s">
        <v>29</v>
      </c>
      <c r="B176" s="18">
        <v>515.2850596666666</v>
      </c>
      <c r="C176" s="48">
        <v>5.2209999866439997E-5</v>
      </c>
      <c r="D176" s="30" t="s">
        <v>42</v>
      </c>
    </row>
    <row r="177" spans="1:4" x14ac:dyDescent="0.2">
      <c r="A177" s="13" t="s">
        <v>29</v>
      </c>
      <c r="B177" s="18">
        <v>618.34207166666658</v>
      </c>
      <c r="C177" s="48">
        <v>5.5480000136944998E-5</v>
      </c>
      <c r="D177" s="30" t="s">
        <v>42</v>
      </c>
    </row>
    <row r="178" spans="1:4" x14ac:dyDescent="0.2">
      <c r="A178" s="13" t="s">
        <v>29</v>
      </c>
      <c r="B178" s="18">
        <v>618.34207166666658</v>
      </c>
      <c r="C178" s="48">
        <v>7.314999988152999E-5</v>
      </c>
      <c r="D178" s="30" t="s">
        <v>42</v>
      </c>
    </row>
    <row r="179" spans="1:4" x14ac:dyDescent="0.2">
      <c r="A179" s="13" t="s">
        <v>29</v>
      </c>
      <c r="B179" s="18">
        <v>721.39908366666668</v>
      </c>
      <c r="C179" s="48">
        <v>7.4860000153304993E-5</v>
      </c>
      <c r="D179" s="30" t="s">
        <v>42</v>
      </c>
    </row>
    <row r="180" spans="1:4" x14ac:dyDescent="0.2">
      <c r="A180" s="13" t="s">
        <v>29</v>
      </c>
      <c r="B180" s="18">
        <v>824.45609566666667</v>
      </c>
      <c r="C180" s="48">
        <v>1.04799999839695E-4</v>
      </c>
      <c r="D180" s="30" t="s">
        <v>42</v>
      </c>
    </row>
    <row r="181" spans="1:4" x14ac:dyDescent="0.2">
      <c r="A181" s="13" t="s">
        <v>29</v>
      </c>
      <c r="B181" s="18">
        <v>824.45609566666667</v>
      </c>
      <c r="C181" s="48">
        <v>1.4708999986418498E-4</v>
      </c>
      <c r="D181" s="30" t="s">
        <v>42</v>
      </c>
    </row>
    <row r="182" spans="1:4" x14ac:dyDescent="0.2">
      <c r="A182" s="13" t="s">
        <v>29</v>
      </c>
      <c r="B182" s="18">
        <v>1030.5701194999999</v>
      </c>
      <c r="C182" s="48">
        <v>1.5352000012140501E-4</v>
      </c>
      <c r="D182" s="30" t="s">
        <v>42</v>
      </c>
    </row>
    <row r="183" spans="1:4" x14ac:dyDescent="0.2">
      <c r="A183" s="13" t="s">
        <v>29</v>
      </c>
      <c r="B183" s="18">
        <v>1030.5701194999999</v>
      </c>
      <c r="C183" s="48">
        <v>1.9630999980269E-4</v>
      </c>
      <c r="D183" s="30" t="s">
        <v>42</v>
      </c>
    </row>
    <row r="184" spans="1:4" x14ac:dyDescent="0.2">
      <c r="A184" s="13" t="s">
        <v>29</v>
      </c>
      <c r="B184" s="18">
        <v>1236.6841433333332</v>
      </c>
      <c r="C184" s="48">
        <v>2.35119999926425E-4</v>
      </c>
      <c r="D184" s="30" t="s">
        <v>42</v>
      </c>
    </row>
    <row r="185" spans="1:4" x14ac:dyDescent="0.2">
      <c r="A185" s="13" t="s">
        <v>29</v>
      </c>
      <c r="B185" s="18">
        <v>1236.6841433333332</v>
      </c>
      <c r="C185" s="48">
        <v>2.6183999985111004E-4</v>
      </c>
      <c r="D185" s="30" t="s">
        <v>42</v>
      </c>
    </row>
    <row r="186" spans="1:4" x14ac:dyDescent="0.2">
      <c r="A186" s="13" t="s">
        <v>29</v>
      </c>
      <c r="B186" s="18">
        <v>1442.7981673333334</v>
      </c>
      <c r="C186" s="48">
        <v>2.5982000018484001E-4</v>
      </c>
      <c r="D186" s="30" t="s">
        <v>42</v>
      </c>
    </row>
    <row r="187" spans="1:4" x14ac:dyDescent="0.2">
      <c r="A187" s="13" t="s">
        <v>29</v>
      </c>
      <c r="B187" s="18">
        <v>1442.7981673333334</v>
      </c>
      <c r="C187" s="48">
        <v>3.1980000015743501E-4</v>
      </c>
      <c r="D187" s="30" t="s">
        <v>42</v>
      </c>
    </row>
    <row r="188" spans="1:4" x14ac:dyDescent="0.2">
      <c r="A188" s="13" t="s">
        <v>29</v>
      </c>
      <c r="B188" s="18">
        <v>1648.9121911666666</v>
      </c>
      <c r="C188" s="48">
        <v>3.1053999992929998E-4</v>
      </c>
      <c r="D188" s="30" t="s">
        <v>42</v>
      </c>
    </row>
    <row r="189" spans="1:4" x14ac:dyDescent="0.2">
      <c r="A189" s="13" t="s">
        <v>29</v>
      </c>
      <c r="B189" s="18">
        <v>1648.9121911666666</v>
      </c>
      <c r="C189" s="48">
        <v>3.7168000000807502E-4</v>
      </c>
      <c r="D189" s="30" t="s">
        <v>42</v>
      </c>
    </row>
    <row r="190" spans="1:4" x14ac:dyDescent="0.2">
      <c r="A190" s="13" t="s">
        <v>29</v>
      </c>
      <c r="B190" s="18">
        <v>1855.0262150000001</v>
      </c>
      <c r="C190" s="48">
        <v>3.4883000019271998E-4</v>
      </c>
      <c r="D190" s="30" t="s">
        <v>42</v>
      </c>
    </row>
    <row r="191" spans="1:4" x14ac:dyDescent="0.2">
      <c r="A191" s="13" t="s">
        <v>29</v>
      </c>
      <c r="B191" s="18">
        <v>1855.0262150000001</v>
      </c>
      <c r="C191" s="48">
        <v>4.0003999991E-4</v>
      </c>
      <c r="D191" s="30" t="s">
        <v>42</v>
      </c>
    </row>
    <row r="192" spans="1:4" x14ac:dyDescent="0.2">
      <c r="A192" s="13" t="s">
        <v>29</v>
      </c>
      <c r="B192" s="18">
        <v>2061.1402383333334</v>
      </c>
      <c r="C192" s="48">
        <v>3.6224000003718499E-4</v>
      </c>
      <c r="D192" s="30" t="s">
        <v>42</v>
      </c>
    </row>
    <row r="193" spans="1:4" x14ac:dyDescent="0.2">
      <c r="A193" s="13" t="s">
        <v>29</v>
      </c>
      <c r="B193" s="18">
        <v>2061.1402383333334</v>
      </c>
      <c r="C193" s="48">
        <v>3.9522000016031003E-4</v>
      </c>
      <c r="D193" s="30" t="s">
        <v>42</v>
      </c>
    </row>
    <row r="194" spans="1:4" x14ac:dyDescent="0.2">
      <c r="A194" s="13" t="s">
        <v>29</v>
      </c>
      <c r="B194" s="18">
        <v>2267.2542633333337</v>
      </c>
      <c r="C194" s="48">
        <v>3.8926000009017499E-4</v>
      </c>
      <c r="D194" s="30" t="s">
        <v>42</v>
      </c>
    </row>
    <row r="195" spans="1:4" x14ac:dyDescent="0.2">
      <c r="A195" s="13" t="s">
        <v>29</v>
      </c>
      <c r="B195" s="18">
        <v>2267.2542633333337</v>
      </c>
      <c r="C195" s="48">
        <v>3.9892999989483502E-4</v>
      </c>
      <c r="D195" s="30" t="s">
        <v>42</v>
      </c>
    </row>
    <row r="196" spans="1:4" x14ac:dyDescent="0.2">
      <c r="A196" s="13" t="s">
        <v>29</v>
      </c>
      <c r="B196" s="18">
        <v>2473.3682866666663</v>
      </c>
      <c r="C196" s="48">
        <v>3.7264000016797998E-4</v>
      </c>
      <c r="D196" s="30" t="s">
        <v>42</v>
      </c>
    </row>
    <row r="197" spans="1:4" x14ac:dyDescent="0.2">
      <c r="A197" s="13" t="s">
        <v>29</v>
      </c>
      <c r="B197" s="18">
        <v>2473.3682866666663</v>
      </c>
      <c r="C197" s="48">
        <v>3.8849000019256999E-4</v>
      </c>
      <c r="D197" s="30" t="s">
        <v>42</v>
      </c>
    </row>
    <row r="198" spans="1:4" x14ac:dyDescent="0.2">
      <c r="A198" s="13" t="s">
        <v>29</v>
      </c>
      <c r="B198" s="18">
        <v>2679.4823099999999</v>
      </c>
      <c r="C198" s="48">
        <v>3.6032000013516002E-4</v>
      </c>
      <c r="D198" s="30" t="s">
        <v>42</v>
      </c>
    </row>
    <row r="199" spans="1:4" x14ac:dyDescent="0.2">
      <c r="A199" s="13" t="s">
        <v>29</v>
      </c>
      <c r="B199" s="18">
        <v>2679.4823099999999</v>
      </c>
      <c r="C199" s="48">
        <v>3.7375000018314495E-4</v>
      </c>
      <c r="D199" s="30" t="s">
        <v>42</v>
      </c>
    </row>
    <row r="200" spans="1:4" x14ac:dyDescent="0.2">
      <c r="A200" s="13" t="s">
        <v>29</v>
      </c>
      <c r="B200" s="18">
        <v>3091.7103583333333</v>
      </c>
      <c r="C200" s="48">
        <v>3.9125999997071E-4</v>
      </c>
      <c r="D200" s="30" t="s">
        <v>42</v>
      </c>
    </row>
    <row r="201" spans="1:4" x14ac:dyDescent="0.2">
      <c r="A201" s="13" t="s">
        <v>29</v>
      </c>
      <c r="B201" s="18">
        <v>3091.7103583333333</v>
      </c>
      <c r="C201" s="48">
        <v>3.8667000005479003E-4</v>
      </c>
      <c r="D201" s="30" t="s">
        <v>42</v>
      </c>
    </row>
    <row r="202" spans="1:4" x14ac:dyDescent="0.2">
      <c r="A202" s="13" t="s">
        <v>29</v>
      </c>
      <c r="B202" s="18">
        <v>3503.9384066666667</v>
      </c>
      <c r="C202" s="48">
        <v>3.4990999990260502E-4</v>
      </c>
      <c r="D202" s="30" t="s">
        <v>42</v>
      </c>
    </row>
    <row r="203" spans="1:4" x14ac:dyDescent="0.2">
      <c r="A203" s="13" t="s">
        <v>29</v>
      </c>
      <c r="B203" s="18">
        <v>3503.9384066666667</v>
      </c>
      <c r="C203" s="48">
        <v>3.8368999981082998E-4</v>
      </c>
      <c r="D203" s="30" t="s">
        <v>42</v>
      </c>
    </row>
    <row r="204" spans="1:4" x14ac:dyDescent="0.2">
      <c r="A204" s="13" t="s">
        <v>29</v>
      </c>
      <c r="B204" s="18">
        <v>3916.1664533333333</v>
      </c>
      <c r="C204" s="48">
        <v>3.77770000147735E-4</v>
      </c>
      <c r="D204" s="30" t="s">
        <v>42</v>
      </c>
    </row>
    <row r="205" spans="1:4" x14ac:dyDescent="0.2">
      <c r="A205" s="13" t="s">
        <v>29</v>
      </c>
      <c r="B205" s="18">
        <v>3916.1664533333333</v>
      </c>
      <c r="C205" s="48">
        <v>3.7745999991767E-4</v>
      </c>
      <c r="D205" s="30" t="s">
        <v>42</v>
      </c>
    </row>
    <row r="206" spans="1:4" x14ac:dyDescent="0.2">
      <c r="A206" s="13" t="s">
        <v>29</v>
      </c>
      <c r="B206" s="18">
        <v>4328.3945016666667</v>
      </c>
      <c r="C206" s="48">
        <v>3.7687999986458001E-4</v>
      </c>
      <c r="D206" s="30" t="s">
        <v>42</v>
      </c>
    </row>
    <row r="207" spans="1:4" x14ac:dyDescent="0.2">
      <c r="A207" s="13" t="s">
        <v>29</v>
      </c>
      <c r="B207" s="18">
        <v>4328.3945016666667</v>
      </c>
      <c r="C207" s="48">
        <v>3.7602999998846503E-4</v>
      </c>
      <c r="D207" s="30" t="s">
        <v>42</v>
      </c>
    </row>
    <row r="208" spans="1:4" x14ac:dyDescent="0.2">
      <c r="A208" s="13" t="s">
        <v>29</v>
      </c>
      <c r="B208" s="18">
        <v>4668.4826416666665</v>
      </c>
      <c r="C208" s="48">
        <v>3.93339999829755E-4</v>
      </c>
      <c r="D208" s="30" t="s">
        <v>42</v>
      </c>
    </row>
    <row r="209" spans="1:4" x14ac:dyDescent="0.2">
      <c r="A209" s="13" t="s">
        <v>29</v>
      </c>
      <c r="B209" s="18">
        <v>4740.62255</v>
      </c>
      <c r="C209" s="48">
        <v>3.8104000000045501E-4</v>
      </c>
      <c r="D209" s="30" t="s">
        <v>42</v>
      </c>
    </row>
    <row r="210" spans="1:4" x14ac:dyDescent="0.2">
      <c r="A210" s="13" t="s">
        <v>29</v>
      </c>
      <c r="B210" s="18">
        <v>4884.9023666666662</v>
      </c>
      <c r="C210" s="48">
        <v>3.98189999884725E-4</v>
      </c>
      <c r="D210" s="30" t="s">
        <v>42</v>
      </c>
    </row>
    <row r="211" spans="1:4" x14ac:dyDescent="0.2">
      <c r="A211" s="13" t="s">
        <v>29</v>
      </c>
      <c r="B211" s="18">
        <v>5152.8505966666671</v>
      </c>
      <c r="C211" s="48">
        <v>3.8409999980513999E-4</v>
      </c>
      <c r="D211" s="30" t="s">
        <v>42</v>
      </c>
    </row>
    <row r="212" spans="1:4" x14ac:dyDescent="0.2">
      <c r="A212" s="13" t="s">
        <v>29</v>
      </c>
      <c r="B212" s="18">
        <v>0</v>
      </c>
      <c r="C212" s="48">
        <v>6.0599999568850002E-6</v>
      </c>
      <c r="D212" s="18" t="s">
        <v>49</v>
      </c>
    </row>
    <row r="213" spans="1:4" x14ac:dyDescent="0.2">
      <c r="A213" s="13" t="s">
        <v>29</v>
      </c>
      <c r="B213" s="18">
        <v>51.528505966666664</v>
      </c>
      <c r="C213" s="48">
        <v>7.4800000452100002E-6</v>
      </c>
      <c r="D213" s="18" t="s">
        <v>49</v>
      </c>
    </row>
    <row r="214" spans="1:4" x14ac:dyDescent="0.2">
      <c r="A214" s="13" t="s">
        <v>29</v>
      </c>
      <c r="B214" s="18">
        <v>103.05701195</v>
      </c>
      <c r="C214" s="48">
        <v>5.8099999055349998E-6</v>
      </c>
      <c r="D214" s="18" t="s">
        <v>49</v>
      </c>
    </row>
    <row r="215" spans="1:4" x14ac:dyDescent="0.2">
      <c r="A215" s="13" t="s">
        <v>29</v>
      </c>
      <c r="B215" s="18">
        <v>103.05701195</v>
      </c>
      <c r="C215" s="48">
        <v>6.8600001212050009E-6</v>
      </c>
      <c r="D215" s="18" t="s">
        <v>49</v>
      </c>
    </row>
    <row r="216" spans="1:4" x14ac:dyDescent="0.2">
      <c r="A216" s="13" t="s">
        <v>29</v>
      </c>
      <c r="B216" s="18">
        <v>154.58551791666665</v>
      </c>
      <c r="C216" s="48">
        <v>7.3300000143999998E-6</v>
      </c>
      <c r="D216" s="18" t="s">
        <v>49</v>
      </c>
    </row>
    <row r="217" spans="1:4" x14ac:dyDescent="0.2">
      <c r="A217" s="13" t="s">
        <v>29</v>
      </c>
      <c r="B217" s="18">
        <v>154.58551791666665</v>
      </c>
      <c r="C217" s="48">
        <v>1.4130000055499999E-5</v>
      </c>
      <c r="D217" s="18" t="s">
        <v>49</v>
      </c>
    </row>
    <row r="218" spans="1:4" x14ac:dyDescent="0.2">
      <c r="A218" s="13" t="s">
        <v>29</v>
      </c>
      <c r="B218" s="18">
        <v>206.11402383333333</v>
      </c>
      <c r="C218" s="48">
        <v>1.6299999958970002E-5</v>
      </c>
      <c r="D218" s="18" t="s">
        <v>49</v>
      </c>
    </row>
    <row r="219" spans="1:4" x14ac:dyDescent="0.2">
      <c r="A219" s="13" t="s">
        <v>29</v>
      </c>
      <c r="B219" s="18">
        <v>206.11402383333333</v>
      </c>
      <c r="C219" s="48">
        <v>2.0329999973360001E-5</v>
      </c>
      <c r="D219" s="18" t="s">
        <v>49</v>
      </c>
    </row>
    <row r="220" spans="1:4" x14ac:dyDescent="0.2">
      <c r="A220" s="13" t="s">
        <v>29</v>
      </c>
      <c r="B220" s="18">
        <v>309.17103583333329</v>
      </c>
      <c r="C220" s="48">
        <v>3.6750000092540002E-5</v>
      </c>
      <c r="D220" s="18" t="s">
        <v>49</v>
      </c>
    </row>
    <row r="221" spans="1:4" x14ac:dyDescent="0.2">
      <c r="A221" s="13" t="s">
        <v>29</v>
      </c>
      <c r="B221" s="18">
        <v>309.17103583333329</v>
      </c>
      <c r="C221" s="48">
        <v>4.4249999938515001E-5</v>
      </c>
      <c r="D221" s="18" t="s">
        <v>49</v>
      </c>
    </row>
    <row r="222" spans="1:4" x14ac:dyDescent="0.2">
      <c r="A222" s="13" t="s">
        <v>29</v>
      </c>
      <c r="B222" s="18">
        <v>412.22804783333333</v>
      </c>
      <c r="C222" s="48">
        <v>6.4879999973495013E-5</v>
      </c>
      <c r="D222" s="18" t="s">
        <v>49</v>
      </c>
    </row>
    <row r="223" spans="1:4" x14ac:dyDescent="0.2">
      <c r="A223" s="13" t="s">
        <v>29</v>
      </c>
      <c r="B223" s="18">
        <v>412.22804783333333</v>
      </c>
      <c r="C223" s="48">
        <v>8.9569999893465005E-5</v>
      </c>
      <c r="D223" s="18" t="s">
        <v>49</v>
      </c>
    </row>
    <row r="224" spans="1:4" x14ac:dyDescent="0.2">
      <c r="A224" s="13" t="s">
        <v>29</v>
      </c>
      <c r="B224" s="18">
        <v>515.2850596666666</v>
      </c>
      <c r="C224" s="48">
        <v>9.7270000119425E-5</v>
      </c>
      <c r="D224" s="18" t="s">
        <v>49</v>
      </c>
    </row>
    <row r="225" spans="1:4" x14ac:dyDescent="0.2">
      <c r="A225" s="13" t="s">
        <v>29</v>
      </c>
      <c r="B225" s="18">
        <v>515.2850596666666</v>
      </c>
      <c r="C225" s="48">
        <v>1.3551999984225501E-4</v>
      </c>
      <c r="D225" s="18" t="s">
        <v>49</v>
      </c>
    </row>
    <row r="226" spans="1:4" x14ac:dyDescent="0.2">
      <c r="A226" s="13" t="s">
        <v>29</v>
      </c>
      <c r="B226" s="18">
        <v>618.34207166666658</v>
      </c>
      <c r="C226" s="48">
        <v>1.3414000003327E-4</v>
      </c>
      <c r="D226" s="18" t="s">
        <v>49</v>
      </c>
    </row>
    <row r="227" spans="1:4" x14ac:dyDescent="0.2">
      <c r="A227" s="13" t="s">
        <v>29</v>
      </c>
      <c r="B227" s="18">
        <v>618.34207166666658</v>
      </c>
      <c r="C227" s="48">
        <v>1.7837999990195002E-4</v>
      </c>
      <c r="D227" s="18" t="s">
        <v>49</v>
      </c>
    </row>
    <row r="228" spans="1:4" x14ac:dyDescent="0.2">
      <c r="A228" s="13" t="s">
        <v>29</v>
      </c>
      <c r="B228" s="18">
        <v>721.39908366666668</v>
      </c>
      <c r="C228" s="48">
        <v>1.7061999993479003E-4</v>
      </c>
      <c r="D228" s="18" t="s">
        <v>49</v>
      </c>
    </row>
    <row r="229" spans="1:4" x14ac:dyDescent="0.2">
      <c r="A229" s="13" t="s">
        <v>29</v>
      </c>
      <c r="B229" s="18">
        <v>824.45609566666667</v>
      </c>
      <c r="C229" s="48">
        <v>2.2377000000684002E-4</v>
      </c>
      <c r="D229" s="18" t="s">
        <v>49</v>
      </c>
    </row>
    <row r="230" spans="1:4" x14ac:dyDescent="0.2">
      <c r="A230" s="13" t="s">
        <v>29</v>
      </c>
      <c r="B230" s="18">
        <v>824.45609566666667</v>
      </c>
      <c r="C230" s="48">
        <v>2.9857999985096503E-4</v>
      </c>
      <c r="D230" s="18" t="s">
        <v>49</v>
      </c>
    </row>
    <row r="231" spans="1:4" x14ac:dyDescent="0.2">
      <c r="A231" s="13" t="s">
        <v>29</v>
      </c>
      <c r="B231" s="18">
        <v>1030.5701194999999</v>
      </c>
      <c r="C231" s="48">
        <v>2.7833000009737998E-4</v>
      </c>
      <c r="D231" s="18" t="s">
        <v>49</v>
      </c>
    </row>
    <row r="232" spans="1:4" x14ac:dyDescent="0.2">
      <c r="A232" s="13" t="s">
        <v>29</v>
      </c>
      <c r="B232" s="18">
        <v>1030.5701194999999</v>
      </c>
      <c r="C232" s="48">
        <v>3.0032000014058001E-4</v>
      </c>
      <c r="D232" s="18" t="s">
        <v>49</v>
      </c>
    </row>
    <row r="233" spans="1:4" x14ac:dyDescent="0.2">
      <c r="A233" s="13" t="s">
        <v>29</v>
      </c>
      <c r="B233" s="18">
        <v>1236.6841433333332</v>
      </c>
      <c r="C233" s="48">
        <v>3.3775999996816001E-4</v>
      </c>
      <c r="D233" s="18" t="s">
        <v>49</v>
      </c>
    </row>
    <row r="234" spans="1:4" x14ac:dyDescent="0.2">
      <c r="A234" s="13" t="s">
        <v>29</v>
      </c>
      <c r="B234" s="18">
        <v>1236.6841433333332</v>
      </c>
      <c r="C234" s="48">
        <v>3.0254000005432001E-4</v>
      </c>
      <c r="D234" s="18" t="s">
        <v>49</v>
      </c>
    </row>
    <row r="235" spans="1:4" x14ac:dyDescent="0.2">
      <c r="A235" s="13" t="s">
        <v>29</v>
      </c>
      <c r="B235" s="18">
        <v>1442.7981673333334</v>
      </c>
      <c r="C235" s="48">
        <v>3.0867999989207503E-4</v>
      </c>
      <c r="D235" s="18" t="s">
        <v>49</v>
      </c>
    </row>
    <row r="236" spans="1:4" x14ac:dyDescent="0.2">
      <c r="A236" s="13" t="s">
        <v>29</v>
      </c>
      <c r="B236" s="18">
        <v>1442.7981673333334</v>
      </c>
      <c r="C236" s="48">
        <v>3.1033999996191505E-4</v>
      </c>
      <c r="D236" s="18" t="s">
        <v>49</v>
      </c>
    </row>
    <row r="237" spans="1:4" x14ac:dyDescent="0.2">
      <c r="A237" s="13" t="s">
        <v>29</v>
      </c>
      <c r="B237" s="18">
        <v>1648.9121911666666</v>
      </c>
      <c r="C237" s="48">
        <v>3.1116999999683504E-4</v>
      </c>
      <c r="D237" s="18" t="s">
        <v>49</v>
      </c>
    </row>
    <row r="238" spans="1:4" x14ac:dyDescent="0.2">
      <c r="A238" s="13" t="s">
        <v>29</v>
      </c>
      <c r="B238" s="18">
        <v>1648.9121911666666</v>
      </c>
      <c r="C238" s="48">
        <v>3.2172000013037499E-4</v>
      </c>
      <c r="D238" s="18" t="s">
        <v>49</v>
      </c>
    </row>
    <row r="239" spans="1:4" x14ac:dyDescent="0.2">
      <c r="A239" s="13" t="s">
        <v>29</v>
      </c>
      <c r="B239" s="18">
        <v>1855.0262150000001</v>
      </c>
      <c r="C239" s="48">
        <v>3.1186000007078004E-4</v>
      </c>
      <c r="D239" s="18" t="s">
        <v>49</v>
      </c>
    </row>
    <row r="240" spans="1:4" x14ac:dyDescent="0.2">
      <c r="A240" s="13" t="s">
        <v>29</v>
      </c>
      <c r="B240" s="18">
        <v>1855.0262150000001</v>
      </c>
      <c r="C240" s="48">
        <v>3.2264999984693002E-4</v>
      </c>
      <c r="D240" s="18" t="s">
        <v>49</v>
      </c>
    </row>
    <row r="241" spans="1:4" x14ac:dyDescent="0.2">
      <c r="A241" s="13" t="s">
        <v>29</v>
      </c>
      <c r="B241" s="18">
        <v>2061.1402383333334</v>
      </c>
      <c r="C241" s="48">
        <v>3.0648000011800503E-4</v>
      </c>
      <c r="D241" s="18" t="s">
        <v>49</v>
      </c>
    </row>
    <row r="242" spans="1:4" x14ac:dyDescent="0.2">
      <c r="A242" s="13" t="s">
        <v>29</v>
      </c>
      <c r="B242" s="18">
        <v>2061.1402383333334</v>
      </c>
      <c r="C242" s="48">
        <v>3.1750000014474003E-4</v>
      </c>
      <c r="D242" s="18" t="s">
        <v>49</v>
      </c>
    </row>
    <row r="243" spans="1:4" x14ac:dyDescent="0.2">
      <c r="A243" s="13" t="s">
        <v>29</v>
      </c>
      <c r="B243" s="18">
        <v>2267.2542633333337</v>
      </c>
      <c r="C243" s="48">
        <v>3.1852000015090498E-4</v>
      </c>
      <c r="D243" s="18" t="s">
        <v>49</v>
      </c>
    </row>
    <row r="244" spans="1:4" x14ac:dyDescent="0.2">
      <c r="A244" s="13" t="s">
        <v>29</v>
      </c>
      <c r="B244" s="18">
        <v>2267.2542633333337</v>
      </c>
      <c r="C244" s="48">
        <v>3.1716999987361501E-4</v>
      </c>
      <c r="D244" s="18" t="s">
        <v>49</v>
      </c>
    </row>
    <row r="245" spans="1:4" x14ac:dyDescent="0.2">
      <c r="A245" s="13" t="s">
        <v>29</v>
      </c>
      <c r="B245" s="18">
        <v>2473.3682866666663</v>
      </c>
      <c r="C245" s="48">
        <v>3.0263000000502503E-4</v>
      </c>
      <c r="D245" s="18" t="s">
        <v>49</v>
      </c>
    </row>
    <row r="246" spans="1:4" x14ac:dyDescent="0.2">
      <c r="A246" s="13" t="s">
        <v>29</v>
      </c>
      <c r="B246" s="18">
        <v>2473.3682866666663</v>
      </c>
      <c r="C246" s="48">
        <v>3.1633999983869503E-4</v>
      </c>
      <c r="D246" s="18" t="s">
        <v>49</v>
      </c>
    </row>
    <row r="247" spans="1:4" x14ac:dyDescent="0.2">
      <c r="A247" s="13" t="s">
        <v>29</v>
      </c>
      <c r="B247" s="18">
        <v>2679.4823099999999</v>
      </c>
      <c r="C247" s="48">
        <v>2.9148000008715001E-4</v>
      </c>
      <c r="D247" s="18" t="s">
        <v>49</v>
      </c>
    </row>
    <row r="248" spans="1:4" x14ac:dyDescent="0.2">
      <c r="A248" s="13" t="s">
        <v>29</v>
      </c>
      <c r="B248" s="18">
        <v>2679.4823099999999</v>
      </c>
      <c r="C248" s="48">
        <v>2.9803000007690004E-4</v>
      </c>
      <c r="D248" s="18" t="s">
        <v>49</v>
      </c>
    </row>
    <row r="249" spans="1:4" x14ac:dyDescent="0.2">
      <c r="A249" s="13" t="s">
        <v>29</v>
      </c>
      <c r="B249" s="18">
        <v>3091.7103583333333</v>
      </c>
      <c r="C249" s="48">
        <v>3.1664999997015004E-4</v>
      </c>
      <c r="D249" s="18" t="s">
        <v>49</v>
      </c>
    </row>
    <row r="250" spans="1:4" x14ac:dyDescent="0.2">
      <c r="A250" s="13" t="s">
        <v>29</v>
      </c>
      <c r="B250" s="18">
        <v>3091.7103583333333</v>
      </c>
      <c r="C250" s="48">
        <v>3.1172999984073501E-4</v>
      </c>
      <c r="D250" s="18" t="s">
        <v>49</v>
      </c>
    </row>
    <row r="251" spans="1:4" x14ac:dyDescent="0.2">
      <c r="A251" s="13" t="s">
        <v>29</v>
      </c>
      <c r="B251" s="18">
        <v>3503.9384066666667</v>
      </c>
      <c r="C251" s="48">
        <v>2.8222000015079503E-4</v>
      </c>
      <c r="D251" s="18" t="s">
        <v>49</v>
      </c>
    </row>
    <row r="252" spans="1:4" x14ac:dyDescent="0.2">
      <c r="A252" s="13" t="s">
        <v>29</v>
      </c>
      <c r="B252" s="18">
        <v>3503.9384066666667</v>
      </c>
      <c r="C252" s="48">
        <v>3.0848999992083006E-4</v>
      </c>
      <c r="D252" s="18" t="s">
        <v>49</v>
      </c>
    </row>
    <row r="253" spans="1:4" x14ac:dyDescent="0.2">
      <c r="A253" s="13" t="s">
        <v>29</v>
      </c>
      <c r="B253" s="18">
        <v>3916.1664533333333</v>
      </c>
      <c r="C253" s="48">
        <v>3.0842000010979504E-4</v>
      </c>
      <c r="D253" s="18" t="s">
        <v>49</v>
      </c>
    </row>
    <row r="254" spans="1:4" x14ac:dyDescent="0.2">
      <c r="A254" s="13" t="s">
        <v>29</v>
      </c>
      <c r="B254" s="18">
        <v>3916.1664533333333</v>
      </c>
      <c r="C254" s="48">
        <v>3.0236999988383998E-4</v>
      </c>
      <c r="D254" s="18" t="s">
        <v>49</v>
      </c>
    </row>
    <row r="255" spans="1:4" x14ac:dyDescent="0.2">
      <c r="A255" s="13" t="s">
        <v>29</v>
      </c>
      <c r="B255" s="18">
        <v>4328.3945016666667</v>
      </c>
      <c r="C255" s="48">
        <v>3.0866000009131003E-4</v>
      </c>
      <c r="D255" s="18" t="s">
        <v>49</v>
      </c>
    </row>
    <row r="256" spans="1:4" x14ac:dyDescent="0.2">
      <c r="A256" s="13" t="s">
        <v>29</v>
      </c>
      <c r="B256" s="18">
        <v>4328.3945016666667</v>
      </c>
      <c r="C256" s="48">
        <v>3.0634000015703004E-4</v>
      </c>
      <c r="D256" s="18" t="s">
        <v>49</v>
      </c>
    </row>
    <row r="257" spans="1:4" x14ac:dyDescent="0.2">
      <c r="A257" s="13" t="s">
        <v>29</v>
      </c>
      <c r="B257" s="18">
        <v>4668.4826416666665</v>
      </c>
      <c r="C257" s="48">
        <v>3.1595999989620499E-4</v>
      </c>
      <c r="D257" s="18" t="s">
        <v>49</v>
      </c>
    </row>
    <row r="258" spans="1:4" x14ac:dyDescent="0.2">
      <c r="A258" s="13" t="s">
        <v>29</v>
      </c>
      <c r="B258" s="18">
        <v>4740.62255</v>
      </c>
      <c r="C258" s="48">
        <v>3.0501000001941002E-4</v>
      </c>
      <c r="D258" s="18" t="s">
        <v>49</v>
      </c>
    </row>
    <row r="259" spans="1:4" x14ac:dyDescent="0.2">
      <c r="A259" s="13" t="s">
        <v>29</v>
      </c>
      <c r="B259" s="18">
        <v>4884.9023666666662</v>
      </c>
      <c r="C259" s="48">
        <v>3.2547999995374502E-4</v>
      </c>
      <c r="D259" s="18" t="s">
        <v>49</v>
      </c>
    </row>
    <row r="260" spans="1:4" x14ac:dyDescent="0.2">
      <c r="A260" s="13" t="s">
        <v>29</v>
      </c>
      <c r="B260" s="18">
        <v>5152.8505966666671</v>
      </c>
      <c r="C260" s="48">
        <v>3.1326000001943502E-4</v>
      </c>
      <c r="D260" s="18" t="s">
        <v>49</v>
      </c>
    </row>
    <row r="261" spans="1:4" x14ac:dyDescent="0.2">
      <c r="A261" s="13" t="s">
        <v>29</v>
      </c>
      <c r="B261" s="18">
        <v>0</v>
      </c>
      <c r="C261" s="48">
        <v>7.3599999023599997E-6</v>
      </c>
      <c r="D261" s="18" t="s">
        <v>50</v>
      </c>
    </row>
    <row r="262" spans="1:4" x14ac:dyDescent="0.2">
      <c r="A262" s="13" t="s">
        <v>29</v>
      </c>
      <c r="B262" s="18">
        <v>51.528505966666664</v>
      </c>
      <c r="C262" s="48">
        <v>2.7100000222399998E-6</v>
      </c>
      <c r="D262" s="18" t="s">
        <v>50</v>
      </c>
    </row>
    <row r="263" spans="1:4" x14ac:dyDescent="0.2">
      <c r="A263" s="13" t="s">
        <v>29</v>
      </c>
      <c r="B263" s="18">
        <v>103.05701195</v>
      </c>
      <c r="C263" s="48">
        <v>2.6199999310799999E-6</v>
      </c>
      <c r="D263" s="18" t="s">
        <v>50</v>
      </c>
    </row>
    <row r="264" spans="1:4" x14ac:dyDescent="0.2">
      <c r="A264" s="13" t="s">
        <v>29</v>
      </c>
      <c r="B264" s="18">
        <v>103.05701195</v>
      </c>
      <c r="C264" s="48">
        <v>1.3999999501599998E-6</v>
      </c>
      <c r="D264" s="18" t="s">
        <v>50</v>
      </c>
    </row>
    <row r="265" spans="1:4" x14ac:dyDescent="0.2">
      <c r="A265" s="13" t="s">
        <v>29</v>
      </c>
      <c r="B265" s="18">
        <v>154.58551791666665</v>
      </c>
      <c r="C265" s="48">
        <v>1.0999999304E-7</v>
      </c>
      <c r="D265" s="18" t="s">
        <v>50</v>
      </c>
    </row>
    <row r="266" spans="1:4" x14ac:dyDescent="0.2">
      <c r="A266" s="13" t="s">
        <v>29</v>
      </c>
      <c r="B266" s="18">
        <v>154.58551791666665</v>
      </c>
      <c r="C266" s="48">
        <v>1.46000008196E-6</v>
      </c>
      <c r="D266" s="18" t="s">
        <v>50</v>
      </c>
    </row>
    <row r="267" spans="1:4" x14ac:dyDescent="0.2">
      <c r="A267" s="13" t="s">
        <v>29</v>
      </c>
      <c r="B267" s="18">
        <v>206.11402383333333</v>
      </c>
      <c r="C267" s="48">
        <v>1.5499999600399999E-6</v>
      </c>
      <c r="D267" s="18" t="s">
        <v>50</v>
      </c>
    </row>
    <row r="268" spans="1:4" x14ac:dyDescent="0.2">
      <c r="A268" s="13" t="s">
        <v>29</v>
      </c>
      <c r="B268" s="18">
        <v>206.11402383333333</v>
      </c>
      <c r="C268" s="48">
        <v>2.1900000163999997E-6</v>
      </c>
      <c r="D268" s="18" t="s">
        <v>50</v>
      </c>
    </row>
    <row r="269" spans="1:4" x14ac:dyDescent="0.2">
      <c r="A269" s="13" t="s">
        <v>29</v>
      </c>
      <c r="B269" s="18">
        <v>309.17103583333329</v>
      </c>
      <c r="C269" s="48">
        <v>2.4799999786799998E-6</v>
      </c>
      <c r="D269" s="18" t="s">
        <v>50</v>
      </c>
    </row>
    <row r="270" spans="1:4" x14ac:dyDescent="0.2">
      <c r="A270" s="13" t="s">
        <v>29</v>
      </c>
      <c r="B270" s="18">
        <v>309.17103583333329</v>
      </c>
      <c r="C270" s="48">
        <v>2.3900001005999999E-6</v>
      </c>
      <c r="D270" s="18" t="s">
        <v>50</v>
      </c>
    </row>
    <row r="271" spans="1:4" x14ac:dyDescent="0.2">
      <c r="A271" s="13" t="s">
        <v>29</v>
      </c>
      <c r="B271" s="18">
        <v>412.22804783333333</v>
      </c>
      <c r="C271" s="48">
        <v>4.1799999486E-6</v>
      </c>
      <c r="D271" s="18" t="s">
        <v>50</v>
      </c>
    </row>
    <row r="272" spans="1:4" x14ac:dyDescent="0.2">
      <c r="A272" s="13" t="s">
        <v>29</v>
      </c>
      <c r="B272" s="18">
        <v>412.22804783333333</v>
      </c>
      <c r="C272" s="48">
        <v>9.7699999048399985E-6</v>
      </c>
      <c r="D272" s="18" t="s">
        <v>50</v>
      </c>
    </row>
    <row r="273" spans="1:4" x14ac:dyDescent="0.2">
      <c r="A273" s="13" t="s">
        <v>29</v>
      </c>
      <c r="B273" s="18">
        <v>515.2850596666666</v>
      </c>
      <c r="C273" s="48">
        <v>9.9100000703199993E-6</v>
      </c>
      <c r="D273" s="18" t="s">
        <v>50</v>
      </c>
    </row>
    <row r="274" spans="1:4" x14ac:dyDescent="0.2">
      <c r="A274" s="13" t="s">
        <v>29</v>
      </c>
      <c r="B274" s="18">
        <v>515.2850596666666</v>
      </c>
      <c r="C274" s="48">
        <v>1.2280000055959998E-5</v>
      </c>
      <c r="D274" s="18" t="s">
        <v>50</v>
      </c>
    </row>
    <row r="275" spans="1:4" x14ac:dyDescent="0.2">
      <c r="A275" s="13" t="s">
        <v>29</v>
      </c>
      <c r="B275" s="18">
        <v>618.34207166666658</v>
      </c>
      <c r="C275" s="48">
        <v>1.235000003216E-5</v>
      </c>
      <c r="D275" s="18" t="s">
        <v>50</v>
      </c>
    </row>
    <row r="276" spans="1:4" x14ac:dyDescent="0.2">
      <c r="A276" s="13" t="s">
        <v>29</v>
      </c>
      <c r="B276" s="18">
        <v>618.34207166666658</v>
      </c>
      <c r="C276" s="48">
        <v>1.8140000072599999E-5</v>
      </c>
      <c r="D276" s="18" t="s">
        <v>50</v>
      </c>
    </row>
    <row r="277" spans="1:4" x14ac:dyDescent="0.2">
      <c r="A277" s="13" t="s">
        <v>29</v>
      </c>
      <c r="B277" s="18">
        <v>721.39908366666668</v>
      </c>
      <c r="C277" s="48">
        <v>1.7419999982559997E-5</v>
      </c>
      <c r="D277" s="18" t="s">
        <v>50</v>
      </c>
    </row>
    <row r="278" spans="1:4" x14ac:dyDescent="0.2">
      <c r="A278" s="13" t="s">
        <v>29</v>
      </c>
      <c r="B278" s="18">
        <v>824.45609566666667</v>
      </c>
      <c r="C278" s="48">
        <v>2.6620000020319998E-5</v>
      </c>
      <c r="D278" s="18" t="s">
        <v>50</v>
      </c>
    </row>
    <row r="279" spans="1:4" x14ac:dyDescent="0.2">
      <c r="A279" s="13" t="s">
        <v>29</v>
      </c>
      <c r="B279" s="18">
        <v>824.45609566666667</v>
      </c>
      <c r="C279" s="48">
        <v>3.791999998332E-5</v>
      </c>
      <c r="D279" s="18" t="s">
        <v>50</v>
      </c>
    </row>
    <row r="280" spans="1:4" x14ac:dyDescent="0.2">
      <c r="A280" s="13" t="s">
        <v>29</v>
      </c>
      <c r="B280" s="18">
        <v>1030.5701194999999</v>
      </c>
      <c r="C280" s="48">
        <v>4.2040000013199996E-5</v>
      </c>
      <c r="D280" s="18" t="s">
        <v>50</v>
      </c>
    </row>
    <row r="281" spans="1:4" x14ac:dyDescent="0.2">
      <c r="A281" s="13" t="s">
        <v>29</v>
      </c>
      <c r="B281" s="18">
        <v>1030.5701194999999</v>
      </c>
      <c r="C281" s="48">
        <v>5.4069999910639998E-5</v>
      </c>
      <c r="D281" s="18" t="s">
        <v>50</v>
      </c>
    </row>
    <row r="282" spans="1:4" x14ac:dyDescent="0.2">
      <c r="A282" s="13" t="s">
        <v>29</v>
      </c>
      <c r="B282" s="18">
        <v>1236.6841433333332</v>
      </c>
      <c r="C282" s="48">
        <v>6.9649999970879996E-5</v>
      </c>
      <c r="D282" s="18" t="s">
        <v>50</v>
      </c>
    </row>
    <row r="283" spans="1:4" x14ac:dyDescent="0.2">
      <c r="A283" s="13" t="s">
        <v>29</v>
      </c>
      <c r="B283" s="18">
        <v>1236.6841433333332</v>
      </c>
      <c r="C283" s="48">
        <v>7.6740000025919995E-5</v>
      </c>
      <c r="D283" s="18" t="s">
        <v>50</v>
      </c>
    </row>
    <row r="284" spans="1:4" x14ac:dyDescent="0.2">
      <c r="A284" s="13" t="s">
        <v>29</v>
      </c>
      <c r="B284" s="18">
        <v>1442.7981673333334</v>
      </c>
      <c r="C284" s="48">
        <v>7.7490000075319991E-5</v>
      </c>
      <c r="D284" s="18" t="s">
        <v>50</v>
      </c>
    </row>
    <row r="285" spans="1:4" x14ac:dyDescent="0.2">
      <c r="A285" s="13" t="s">
        <v>29</v>
      </c>
      <c r="B285" s="18">
        <v>1442.7981673333334</v>
      </c>
      <c r="C285" s="48">
        <v>1.0391000001144E-4</v>
      </c>
      <c r="D285" s="18" t="s">
        <v>50</v>
      </c>
    </row>
    <row r="286" spans="1:4" x14ac:dyDescent="0.2">
      <c r="A286" s="13" t="s">
        <v>29</v>
      </c>
      <c r="B286" s="18">
        <v>1648.9121911666666</v>
      </c>
      <c r="C286" s="48">
        <v>9.7789999991880001E-5</v>
      </c>
      <c r="D286" s="18" t="s">
        <v>50</v>
      </c>
    </row>
    <row r="287" spans="1:4" x14ac:dyDescent="0.2">
      <c r="A287" s="13" t="s">
        <v>29</v>
      </c>
      <c r="B287" s="18">
        <v>1648.9121911666666</v>
      </c>
      <c r="C287" s="48">
        <v>1.3829000010251999E-4</v>
      </c>
      <c r="D287" s="18" t="s">
        <v>50</v>
      </c>
    </row>
    <row r="288" spans="1:4" x14ac:dyDescent="0.2">
      <c r="A288" s="13" t="s">
        <v>29</v>
      </c>
      <c r="B288" s="18">
        <v>1855.0262150000001</v>
      </c>
      <c r="C288" s="48">
        <v>1.2242000007999998E-4</v>
      </c>
      <c r="D288" s="18" t="s">
        <v>50</v>
      </c>
    </row>
    <row r="289" spans="1:4" x14ac:dyDescent="0.2">
      <c r="A289" s="13" t="s">
        <v>29</v>
      </c>
      <c r="B289" s="18">
        <v>1855.0262150000001</v>
      </c>
      <c r="C289" s="48">
        <v>1.6341000002404E-4</v>
      </c>
      <c r="D289" s="18" t="s">
        <v>50</v>
      </c>
    </row>
    <row r="290" spans="1:4" x14ac:dyDescent="0.2">
      <c r="A290" s="13" t="s">
        <v>29</v>
      </c>
      <c r="B290" s="18">
        <v>2061.1402383333334</v>
      </c>
      <c r="C290" s="48">
        <v>1.3947000006659998E-4</v>
      </c>
      <c r="D290" s="18" t="s">
        <v>50</v>
      </c>
    </row>
    <row r="291" spans="1:4" x14ac:dyDescent="0.2">
      <c r="A291" s="13" t="s">
        <v>29</v>
      </c>
      <c r="B291" s="18">
        <v>2061.1402383333334</v>
      </c>
      <c r="C291" s="48">
        <v>1.7839000004475999E-4</v>
      </c>
      <c r="D291" s="18" t="s">
        <v>50</v>
      </c>
    </row>
    <row r="292" spans="1:4" x14ac:dyDescent="0.2">
      <c r="A292" s="13" t="s">
        <v>29</v>
      </c>
      <c r="B292" s="18">
        <v>2267.2542633333337</v>
      </c>
      <c r="C292" s="48">
        <v>1.6646000008287999E-4</v>
      </c>
      <c r="D292" s="18" t="s">
        <v>50</v>
      </c>
    </row>
    <row r="293" spans="1:4" x14ac:dyDescent="0.2">
      <c r="A293" s="13" t="s">
        <v>29</v>
      </c>
      <c r="B293" s="18">
        <v>2267.2542633333337</v>
      </c>
      <c r="C293" s="48">
        <v>1.9416999997611998E-4</v>
      </c>
      <c r="D293" s="18" t="s">
        <v>50</v>
      </c>
    </row>
    <row r="294" spans="1:4" x14ac:dyDescent="0.2">
      <c r="A294" s="13" t="s">
        <v>29</v>
      </c>
      <c r="B294" s="18">
        <v>2473.3682866666663</v>
      </c>
      <c r="C294" s="48">
        <v>1.7244999999443998E-4</v>
      </c>
      <c r="D294" s="18" t="s">
        <v>50</v>
      </c>
    </row>
    <row r="295" spans="1:4" x14ac:dyDescent="0.2">
      <c r="A295" s="13" t="s">
        <v>29</v>
      </c>
      <c r="B295" s="18">
        <v>2473.3682866666663</v>
      </c>
      <c r="C295" s="48">
        <v>2.0022000001948E-4</v>
      </c>
      <c r="D295" s="18" t="s">
        <v>50</v>
      </c>
    </row>
    <row r="296" spans="1:4" x14ac:dyDescent="0.2">
      <c r="A296" s="13" t="s">
        <v>29</v>
      </c>
      <c r="B296" s="18">
        <v>2679.4823099999999</v>
      </c>
      <c r="C296" s="48">
        <v>1.7599000009975999E-4</v>
      </c>
      <c r="D296" s="18" t="s">
        <v>50</v>
      </c>
    </row>
    <row r="297" spans="1:4" x14ac:dyDescent="0.2">
      <c r="A297" s="13" t="s">
        <v>29</v>
      </c>
      <c r="B297" s="18">
        <v>2679.4823099999999</v>
      </c>
      <c r="C297" s="48">
        <v>1.9797000008435999E-4</v>
      </c>
      <c r="D297" s="18" t="s">
        <v>50</v>
      </c>
    </row>
    <row r="298" spans="1:4" x14ac:dyDescent="0.2">
      <c r="A298" s="13" t="s">
        <v>29</v>
      </c>
      <c r="B298" s="18">
        <v>3091.7103583333333</v>
      </c>
      <c r="C298" s="48">
        <v>2.0416000008011999E-4</v>
      </c>
      <c r="D298" s="18" t="s">
        <v>50</v>
      </c>
    </row>
    <row r="299" spans="1:4" x14ac:dyDescent="0.2">
      <c r="A299" s="13" t="s">
        <v>29</v>
      </c>
      <c r="B299" s="18">
        <v>3091.7103583333333</v>
      </c>
      <c r="C299" s="48">
        <v>2.0682000002803999E-4</v>
      </c>
      <c r="D299" s="18" t="s">
        <v>50</v>
      </c>
    </row>
    <row r="300" spans="1:4" x14ac:dyDescent="0.2">
      <c r="A300" s="13" t="s">
        <v>29</v>
      </c>
      <c r="B300" s="18">
        <v>3503.9384066666667</v>
      </c>
      <c r="C300" s="48">
        <v>1.8817000000707999E-4</v>
      </c>
      <c r="D300" s="18" t="s">
        <v>50</v>
      </c>
    </row>
    <row r="301" spans="1:4" x14ac:dyDescent="0.2">
      <c r="A301" s="13" t="s">
        <v>29</v>
      </c>
      <c r="B301" s="18">
        <v>3503.9384066666667</v>
      </c>
      <c r="C301" s="48">
        <v>1.9978000004731999E-4</v>
      </c>
      <c r="D301" s="18" t="s">
        <v>50</v>
      </c>
    </row>
    <row r="302" spans="1:4" x14ac:dyDescent="0.2">
      <c r="A302" s="13" t="s">
        <v>29</v>
      </c>
      <c r="B302" s="18">
        <v>3916.1664533333333</v>
      </c>
      <c r="C302" s="48">
        <v>2.0249999991396001E-4</v>
      </c>
      <c r="D302" s="18" t="s">
        <v>50</v>
      </c>
    </row>
    <row r="303" spans="1:4" x14ac:dyDescent="0.2">
      <c r="A303" s="13" t="s">
        <v>29</v>
      </c>
      <c r="B303" s="18">
        <v>3916.1664533333333</v>
      </c>
      <c r="C303" s="48">
        <v>2.0131000010547998E-4</v>
      </c>
      <c r="D303" s="18" t="s">
        <v>50</v>
      </c>
    </row>
    <row r="304" spans="1:4" x14ac:dyDescent="0.2">
      <c r="A304" s="13" t="s">
        <v>29</v>
      </c>
      <c r="B304" s="18">
        <v>4328.3945016666667</v>
      </c>
      <c r="C304" s="48">
        <v>2.0271999990003999E-4</v>
      </c>
      <c r="D304" s="18" t="s">
        <v>50</v>
      </c>
    </row>
    <row r="305" spans="1:4" x14ac:dyDescent="0.2">
      <c r="A305" s="13" t="s">
        <v>29</v>
      </c>
      <c r="B305" s="18">
        <v>4328.3945016666667</v>
      </c>
      <c r="C305" s="48">
        <v>1.9997999991843999E-4</v>
      </c>
      <c r="D305" s="18" t="s">
        <v>50</v>
      </c>
    </row>
    <row r="306" spans="1:4" x14ac:dyDescent="0.2">
      <c r="A306" s="13" t="s">
        <v>29</v>
      </c>
      <c r="B306" s="18">
        <v>4668.4826416666665</v>
      </c>
      <c r="C306" s="48">
        <v>2.0872000008215997E-4</v>
      </c>
      <c r="D306" s="18" t="s">
        <v>50</v>
      </c>
    </row>
    <row r="307" spans="1:4" x14ac:dyDescent="0.2">
      <c r="A307" s="13" t="s">
        <v>29</v>
      </c>
      <c r="B307" s="18">
        <v>4740.62255</v>
      </c>
      <c r="C307" s="48">
        <v>2.0357999994247998E-4</v>
      </c>
      <c r="D307" s="18" t="s">
        <v>50</v>
      </c>
    </row>
    <row r="308" spans="1:4" x14ac:dyDescent="0.2">
      <c r="A308" s="13" t="s">
        <v>29</v>
      </c>
      <c r="B308" s="18">
        <v>4884.9023666666662</v>
      </c>
      <c r="C308" s="48">
        <v>2.1370999999887998E-4</v>
      </c>
      <c r="D308" s="18" t="s">
        <v>50</v>
      </c>
    </row>
    <row r="309" spans="1:4" x14ac:dyDescent="0.2">
      <c r="A309" s="13" t="s">
        <v>29</v>
      </c>
      <c r="B309" s="18">
        <v>5152.8505966666671</v>
      </c>
      <c r="C309" s="48">
        <v>2.0610999999547998E-4</v>
      </c>
      <c r="D309" s="18" t="s">
        <v>50</v>
      </c>
    </row>
    <row r="310" spans="1:4" x14ac:dyDescent="0.2">
      <c r="A310" s="13" t="s">
        <v>29</v>
      </c>
      <c r="B310" s="18">
        <v>0</v>
      </c>
      <c r="C310" s="48">
        <v>0</v>
      </c>
      <c r="D310" s="18" t="s">
        <v>54</v>
      </c>
    </row>
    <row r="311" spans="1:4" x14ac:dyDescent="0.2">
      <c r="A311" s="13" t="s">
        <v>29</v>
      </c>
      <c r="B311" s="18">
        <v>51.528505966666664</v>
      </c>
      <c r="C311" s="48">
        <v>0</v>
      </c>
      <c r="D311" s="18" t="s">
        <v>54</v>
      </c>
    </row>
    <row r="312" spans="1:4" x14ac:dyDescent="0.2">
      <c r="A312" s="13" t="s">
        <v>29</v>
      </c>
      <c r="B312" s="18">
        <v>103.05701195</v>
      </c>
      <c r="C312" s="48">
        <v>0</v>
      </c>
      <c r="D312" s="18" t="s">
        <v>54</v>
      </c>
    </row>
    <row r="313" spans="1:4" x14ac:dyDescent="0.2">
      <c r="A313" s="13" t="s">
        <v>29</v>
      </c>
      <c r="B313" s="18">
        <v>103.05701195</v>
      </c>
      <c r="C313" s="48">
        <v>0</v>
      </c>
      <c r="D313" s="18" t="s">
        <v>54</v>
      </c>
    </row>
    <row r="314" spans="1:4" x14ac:dyDescent="0.2">
      <c r="A314" s="13" t="s">
        <v>29</v>
      </c>
      <c r="B314" s="18">
        <v>154.58551791666665</v>
      </c>
      <c r="C314" s="48">
        <v>0</v>
      </c>
      <c r="D314" s="18" t="s">
        <v>54</v>
      </c>
    </row>
    <row r="315" spans="1:4" x14ac:dyDescent="0.2">
      <c r="A315" s="13" t="s">
        <v>29</v>
      </c>
      <c r="B315" s="18">
        <v>154.58551791666665</v>
      </c>
      <c r="C315" s="48">
        <v>0</v>
      </c>
      <c r="D315" s="18" t="s">
        <v>54</v>
      </c>
    </row>
    <row r="316" spans="1:4" x14ac:dyDescent="0.2">
      <c r="A316" s="13" t="s">
        <v>29</v>
      </c>
      <c r="B316" s="18">
        <v>206.11402383333333</v>
      </c>
      <c r="C316" s="48">
        <v>5.8100000042199989E-6</v>
      </c>
      <c r="D316" s="18" t="s">
        <v>54</v>
      </c>
    </row>
    <row r="317" spans="1:4" x14ac:dyDescent="0.2">
      <c r="A317" s="13" t="s">
        <v>29</v>
      </c>
      <c r="B317" s="18">
        <v>206.11402383333333</v>
      </c>
      <c r="C317" s="48">
        <v>0</v>
      </c>
      <c r="D317" s="18" t="s">
        <v>54</v>
      </c>
    </row>
    <row r="318" spans="1:4" x14ac:dyDescent="0.2">
      <c r="A318" s="13" t="s">
        <v>29</v>
      </c>
      <c r="B318" s="18">
        <v>309.17103583333329</v>
      </c>
      <c r="C318" s="48">
        <v>0</v>
      </c>
      <c r="D318" s="18" t="s">
        <v>54</v>
      </c>
    </row>
    <row r="319" spans="1:4" x14ac:dyDescent="0.2">
      <c r="A319" s="13" t="s">
        <v>29</v>
      </c>
      <c r="B319" s="18">
        <v>309.17103583333329</v>
      </c>
      <c r="C319" s="48">
        <v>0</v>
      </c>
      <c r="D319" s="18" t="s">
        <v>54</v>
      </c>
    </row>
    <row r="320" spans="1:4" x14ac:dyDescent="0.2">
      <c r="A320" s="13" t="s">
        <v>29</v>
      </c>
      <c r="B320" s="18">
        <v>412.22804783333333</v>
      </c>
      <c r="C320" s="48">
        <v>0</v>
      </c>
      <c r="D320" s="18" t="s">
        <v>54</v>
      </c>
    </row>
    <row r="321" spans="1:4" x14ac:dyDescent="0.2">
      <c r="A321" s="13" t="s">
        <v>29</v>
      </c>
      <c r="B321" s="18">
        <v>412.22804783333333</v>
      </c>
      <c r="C321" s="48">
        <v>0</v>
      </c>
      <c r="D321" s="18" t="s">
        <v>54</v>
      </c>
    </row>
    <row r="322" spans="1:4" x14ac:dyDescent="0.2">
      <c r="A322" s="13" t="s">
        <v>29</v>
      </c>
      <c r="B322" s="18">
        <v>515.2850596666666</v>
      </c>
      <c r="C322" s="48">
        <v>0</v>
      </c>
      <c r="D322" s="18" t="s">
        <v>54</v>
      </c>
    </row>
    <row r="323" spans="1:4" x14ac:dyDescent="0.2">
      <c r="A323" s="13" t="s">
        <v>29</v>
      </c>
      <c r="B323" s="18">
        <v>515.2850596666666</v>
      </c>
      <c r="C323" s="48">
        <v>9.0000015693999989E-7</v>
      </c>
      <c r="D323" s="18" t="s">
        <v>54</v>
      </c>
    </row>
    <row r="324" spans="1:4" x14ac:dyDescent="0.2">
      <c r="A324" s="13" t="s">
        <v>29</v>
      </c>
      <c r="B324" s="18">
        <v>618.34207166666658</v>
      </c>
      <c r="C324" s="48">
        <v>0</v>
      </c>
      <c r="D324" s="18" t="s">
        <v>54</v>
      </c>
    </row>
    <row r="325" spans="1:4" x14ac:dyDescent="0.2">
      <c r="A325" s="13" t="s">
        <v>29</v>
      </c>
      <c r="B325" s="18">
        <v>618.34207166666658</v>
      </c>
      <c r="C325" s="48">
        <v>3.3600000257999993E-6</v>
      </c>
      <c r="D325" s="18" t="s">
        <v>54</v>
      </c>
    </row>
    <row r="326" spans="1:4" x14ac:dyDescent="0.2">
      <c r="A326" s="13" t="s">
        <v>29</v>
      </c>
      <c r="B326" s="18">
        <v>721.39908366666668</v>
      </c>
      <c r="C326" s="48">
        <v>6.1000010277999996E-7</v>
      </c>
      <c r="D326" s="18" t="s">
        <v>54</v>
      </c>
    </row>
    <row r="327" spans="1:4" x14ac:dyDescent="0.2">
      <c r="A327" s="13" t="s">
        <v>29</v>
      </c>
      <c r="B327" s="18">
        <v>824.45609566666667</v>
      </c>
      <c r="C327" s="48">
        <v>2.7100000381199994E-6</v>
      </c>
      <c r="D327" s="18" t="s">
        <v>54</v>
      </c>
    </row>
    <row r="328" spans="1:4" x14ac:dyDescent="0.2">
      <c r="A328" s="13" t="s">
        <v>29</v>
      </c>
      <c r="B328" s="18">
        <v>824.45609566666667</v>
      </c>
      <c r="C328" s="48">
        <v>8.2599999826399993E-6</v>
      </c>
      <c r="D328" s="18" t="s">
        <v>54</v>
      </c>
    </row>
    <row r="329" spans="1:4" x14ac:dyDescent="0.2">
      <c r="A329" s="13" t="s">
        <v>29</v>
      </c>
      <c r="B329" s="18">
        <v>1030.5701194999999</v>
      </c>
      <c r="C329" s="48">
        <v>1.0239999940140001E-5</v>
      </c>
      <c r="D329" s="18" t="s">
        <v>54</v>
      </c>
    </row>
    <row r="330" spans="1:4" x14ac:dyDescent="0.2">
      <c r="A330" s="13" t="s">
        <v>29</v>
      </c>
      <c r="B330" s="18">
        <v>1030.5701194999999</v>
      </c>
      <c r="C330" s="48">
        <v>1.5259999874819999E-5</v>
      </c>
      <c r="D330" s="18" t="s">
        <v>54</v>
      </c>
    </row>
    <row r="331" spans="1:4" x14ac:dyDescent="0.2">
      <c r="A331" s="13" t="s">
        <v>29</v>
      </c>
      <c r="B331" s="18">
        <v>1236.6841433333332</v>
      </c>
      <c r="C331" s="48">
        <v>1.724000015546E-5</v>
      </c>
      <c r="D331" s="18" t="s">
        <v>54</v>
      </c>
    </row>
    <row r="332" spans="1:4" x14ac:dyDescent="0.2">
      <c r="A332" s="13" t="s">
        <v>29</v>
      </c>
      <c r="B332" s="18">
        <v>1236.6841433333332</v>
      </c>
      <c r="C332" s="48">
        <v>2.1739999970740001E-5</v>
      </c>
      <c r="D332" s="18" t="s">
        <v>54</v>
      </c>
    </row>
    <row r="333" spans="1:4" x14ac:dyDescent="0.2">
      <c r="A333" s="13" t="s">
        <v>29</v>
      </c>
      <c r="B333" s="18">
        <v>1442.7981673333334</v>
      </c>
      <c r="C333" s="48">
        <v>2.3609999840839998E-5</v>
      </c>
      <c r="D333" s="18" t="s">
        <v>54</v>
      </c>
    </row>
    <row r="334" spans="1:4" x14ac:dyDescent="0.2">
      <c r="A334" s="13" t="s">
        <v>29</v>
      </c>
      <c r="B334" s="18">
        <v>1442.7981673333334</v>
      </c>
      <c r="C334" s="48">
        <v>3.7469999866479993E-5</v>
      </c>
      <c r="D334" s="18" t="s">
        <v>54</v>
      </c>
    </row>
    <row r="335" spans="1:4" x14ac:dyDescent="0.2">
      <c r="A335" s="13" t="s">
        <v>29</v>
      </c>
      <c r="B335" s="18">
        <v>1648.9121911666666</v>
      </c>
      <c r="C335" s="48">
        <v>3.2230000080139998E-5</v>
      </c>
      <c r="D335" s="18" t="s">
        <v>54</v>
      </c>
    </row>
    <row r="336" spans="1:4" x14ac:dyDescent="0.2">
      <c r="A336" s="13" t="s">
        <v>29</v>
      </c>
      <c r="B336" s="18">
        <v>1648.9121911666666</v>
      </c>
      <c r="C336" s="48">
        <v>5.3299999959179993E-5</v>
      </c>
      <c r="D336" s="18" t="s">
        <v>54</v>
      </c>
    </row>
    <row r="337" spans="1:4" x14ac:dyDescent="0.2">
      <c r="A337" s="13" t="s">
        <v>29</v>
      </c>
      <c r="B337" s="18">
        <v>1855.0262150000001</v>
      </c>
      <c r="C337" s="48">
        <v>4.8890000127279997E-5</v>
      </c>
      <c r="D337" s="18" t="s">
        <v>54</v>
      </c>
    </row>
    <row r="338" spans="1:4" x14ac:dyDescent="0.2">
      <c r="A338" s="13" t="s">
        <v>29</v>
      </c>
      <c r="B338" s="18">
        <v>1855.0262150000001</v>
      </c>
      <c r="C338" s="48">
        <v>7.1700000008139995E-5</v>
      </c>
      <c r="D338" s="18" t="s">
        <v>54</v>
      </c>
    </row>
    <row r="339" spans="1:4" x14ac:dyDescent="0.2">
      <c r="A339" s="13" t="s">
        <v>29</v>
      </c>
      <c r="B339" s="18">
        <v>2061.1402383333334</v>
      </c>
      <c r="C339" s="48">
        <v>5.8259999904940001E-5</v>
      </c>
      <c r="D339" s="18" t="s">
        <v>54</v>
      </c>
    </row>
    <row r="340" spans="1:4" x14ac:dyDescent="0.2">
      <c r="A340" s="13" t="s">
        <v>29</v>
      </c>
      <c r="B340" s="18">
        <v>2061.1402383333334</v>
      </c>
      <c r="C340" s="48">
        <v>7.9010000058499989E-5</v>
      </c>
      <c r="D340" s="18" t="s">
        <v>54</v>
      </c>
    </row>
    <row r="341" spans="1:4" x14ac:dyDescent="0.2">
      <c r="A341" s="13" t="s">
        <v>29</v>
      </c>
      <c r="B341" s="18">
        <v>2267.2542633333337</v>
      </c>
      <c r="C341" s="48">
        <v>7.6360000009299996E-5</v>
      </c>
      <c r="D341" s="18" t="s">
        <v>54</v>
      </c>
    </row>
    <row r="342" spans="1:4" x14ac:dyDescent="0.2">
      <c r="A342" s="13" t="s">
        <v>29</v>
      </c>
      <c r="B342" s="18">
        <v>2267.2542633333337</v>
      </c>
      <c r="C342" s="48">
        <v>1.0152999988519998E-4</v>
      </c>
      <c r="D342" s="18" t="s">
        <v>54</v>
      </c>
    </row>
    <row r="343" spans="1:4" x14ac:dyDescent="0.2">
      <c r="A343" s="13" t="s">
        <v>29</v>
      </c>
      <c r="B343" s="18">
        <v>2473.3682866666663</v>
      </c>
      <c r="C343" s="48">
        <v>8.2969999973499998E-5</v>
      </c>
      <c r="D343" s="18" t="s">
        <v>54</v>
      </c>
    </row>
    <row r="344" spans="1:4" x14ac:dyDescent="0.2">
      <c r="A344" s="13" t="s">
        <v>29</v>
      </c>
      <c r="B344" s="18">
        <v>2473.3682866666663</v>
      </c>
      <c r="C344" s="48">
        <v>1.1411999992993998E-4</v>
      </c>
      <c r="D344" s="18" t="s">
        <v>54</v>
      </c>
    </row>
    <row r="345" spans="1:4" x14ac:dyDescent="0.2">
      <c r="A345" s="13" t="s">
        <v>29</v>
      </c>
      <c r="B345" s="18">
        <v>2679.4823099999999</v>
      </c>
      <c r="C345" s="48">
        <v>9.0849999918599997E-5</v>
      </c>
      <c r="D345" s="18" t="s">
        <v>54</v>
      </c>
    </row>
    <row r="346" spans="1:4" x14ac:dyDescent="0.2">
      <c r="A346" s="13" t="s">
        <v>29</v>
      </c>
      <c r="B346" s="18">
        <v>2679.4823099999999</v>
      </c>
      <c r="C346" s="48">
        <v>2.7642999990099996E-4</v>
      </c>
      <c r="D346" s="18" t="s">
        <v>54</v>
      </c>
    </row>
    <row r="347" spans="1:4" x14ac:dyDescent="0.2">
      <c r="A347" s="13" t="s">
        <v>29</v>
      </c>
      <c r="B347" s="18">
        <v>3091.7103583333333</v>
      </c>
      <c r="C347" s="48">
        <v>1.3343999991671999E-4</v>
      </c>
      <c r="D347" s="18" t="s">
        <v>54</v>
      </c>
    </row>
    <row r="348" spans="1:4" x14ac:dyDescent="0.2">
      <c r="A348" s="13" t="s">
        <v>29</v>
      </c>
      <c r="B348" s="18">
        <v>3091.7103583333333</v>
      </c>
      <c r="C348" s="48">
        <v>3.2375000010277996E-4</v>
      </c>
      <c r="D348" s="18" t="s">
        <v>54</v>
      </c>
    </row>
    <row r="349" spans="1:4" x14ac:dyDescent="0.2">
      <c r="A349" s="13" t="s">
        <v>29</v>
      </c>
      <c r="B349" s="18">
        <v>3503.9384066666667</v>
      </c>
      <c r="C349" s="48">
        <v>1.5166999988936E-4</v>
      </c>
      <c r="D349" s="18" t="s">
        <v>54</v>
      </c>
    </row>
    <row r="350" spans="1:4" x14ac:dyDescent="0.2">
      <c r="A350" s="13" t="s">
        <v>29</v>
      </c>
      <c r="B350" s="18">
        <v>3503.9384066666667</v>
      </c>
      <c r="C350" s="48">
        <v>1.3708000010623998E-4</v>
      </c>
      <c r="D350" s="18" t="s">
        <v>54</v>
      </c>
    </row>
    <row r="351" spans="1:4" x14ac:dyDescent="0.2">
      <c r="A351" s="13" t="s">
        <v>29</v>
      </c>
      <c r="B351" s="18">
        <v>3916.1664533333333</v>
      </c>
      <c r="C351" s="48">
        <v>2.0024999985846E-4</v>
      </c>
      <c r="D351" s="18" t="s">
        <v>54</v>
      </c>
    </row>
    <row r="352" spans="1:4" x14ac:dyDescent="0.2">
      <c r="A352" s="13" t="s">
        <v>29</v>
      </c>
      <c r="B352" s="18">
        <v>3916.1664533333333</v>
      </c>
      <c r="C352" s="48">
        <v>1.7681999998437999E-4</v>
      </c>
      <c r="D352" s="18" t="s">
        <v>54</v>
      </c>
    </row>
    <row r="353" spans="1:4" x14ac:dyDescent="0.2">
      <c r="A353" s="13" t="s">
        <v>29</v>
      </c>
      <c r="B353" s="18">
        <v>4328.3945016666667</v>
      </c>
      <c r="C353" s="48">
        <v>2.4479000014275998E-4</v>
      </c>
      <c r="D353" s="18" t="s">
        <v>54</v>
      </c>
    </row>
    <row r="354" spans="1:4" x14ac:dyDescent="0.2">
      <c r="A354" s="13" t="s">
        <v>29</v>
      </c>
      <c r="B354" s="18">
        <v>4328.3945016666667</v>
      </c>
      <c r="C354" s="48">
        <v>2.2304999984887997E-4</v>
      </c>
      <c r="D354" s="18" t="s">
        <v>54</v>
      </c>
    </row>
    <row r="355" spans="1:4" x14ac:dyDescent="0.2">
      <c r="A355" s="13" t="s">
        <v>29</v>
      </c>
      <c r="B355" s="18">
        <v>4668.4826416666665</v>
      </c>
      <c r="C355" s="48">
        <v>2.6276999994613999E-4</v>
      </c>
      <c r="D355" s="18" t="s">
        <v>54</v>
      </c>
    </row>
    <row r="356" spans="1:4" x14ac:dyDescent="0.2">
      <c r="A356" s="13" t="s">
        <v>29</v>
      </c>
      <c r="B356" s="18">
        <v>4740.62255</v>
      </c>
      <c r="C356" s="48">
        <v>2.5076999990015998E-4</v>
      </c>
      <c r="D356" s="18" t="s">
        <v>54</v>
      </c>
    </row>
    <row r="357" spans="1:4" x14ac:dyDescent="0.2">
      <c r="A357" s="13" t="s">
        <v>29</v>
      </c>
      <c r="B357" s="18">
        <v>4884.9023666666662</v>
      </c>
      <c r="C357" s="48">
        <v>2.776999998819E-4</v>
      </c>
      <c r="D357" s="18" t="s">
        <v>54</v>
      </c>
    </row>
    <row r="358" spans="1:4" x14ac:dyDescent="0.2">
      <c r="A358" s="13" t="s">
        <v>29</v>
      </c>
      <c r="B358" s="18">
        <v>5152.8505966666671</v>
      </c>
      <c r="C358" s="48">
        <v>3.2614000009227996E-4</v>
      </c>
      <c r="D358" s="18" t="s">
        <v>54</v>
      </c>
    </row>
    <row r="359" spans="1:4" x14ac:dyDescent="0.2">
      <c r="A359" s="13"/>
      <c r="B359" s="20"/>
      <c r="C359" s="16"/>
      <c r="D359" s="16"/>
    </row>
    <row r="360" spans="1:4" x14ac:dyDescent="0.2">
      <c r="A360" s="13"/>
      <c r="B360" s="20"/>
      <c r="C360" s="16"/>
      <c r="D360" s="16"/>
    </row>
    <row r="361" spans="1:4" x14ac:dyDescent="0.2">
      <c r="A361" s="13"/>
      <c r="B361" s="20"/>
      <c r="C361" s="16"/>
      <c r="D361" s="16"/>
    </row>
    <row r="362" spans="1:4" x14ac:dyDescent="0.2">
      <c r="A362" s="13"/>
      <c r="B362" s="20"/>
      <c r="C362" s="16"/>
      <c r="D362" s="16"/>
    </row>
    <row r="363" spans="1:4" x14ac:dyDescent="0.2">
      <c r="A363" s="13"/>
      <c r="B363" s="20"/>
      <c r="C363" s="16"/>
      <c r="D363" s="16"/>
    </row>
    <row r="364" spans="1:4" x14ac:dyDescent="0.2">
      <c r="A364" s="13"/>
      <c r="B364" s="20"/>
      <c r="C364" s="16"/>
      <c r="D364" s="16"/>
    </row>
    <row r="365" spans="1:4" x14ac:dyDescent="0.2">
      <c r="A365" s="13"/>
      <c r="B365" s="20"/>
      <c r="C365" s="16"/>
      <c r="D365" s="16"/>
    </row>
    <row r="366" spans="1:4" x14ac:dyDescent="0.2">
      <c r="A366" s="13"/>
      <c r="B366" s="20"/>
      <c r="C366" s="16"/>
      <c r="D366" s="16"/>
    </row>
    <row r="367" spans="1:4" x14ac:dyDescent="0.2">
      <c r="A367" s="13"/>
      <c r="B367" s="20"/>
      <c r="C367" s="16"/>
      <c r="D367" s="16"/>
    </row>
    <row r="368" spans="1:4" x14ac:dyDescent="0.2">
      <c r="A368" s="13"/>
      <c r="B368" s="20"/>
      <c r="C368" s="16"/>
      <c r="D368" s="16"/>
    </row>
    <row r="369" spans="1:4" x14ac:dyDescent="0.2">
      <c r="A369" s="13"/>
      <c r="B369" s="20"/>
      <c r="C369" s="16"/>
      <c r="D369" s="16"/>
    </row>
    <row r="370" spans="1:4" x14ac:dyDescent="0.2">
      <c r="A370" s="13"/>
      <c r="B370" s="20"/>
      <c r="C370" s="16"/>
      <c r="D370" s="16"/>
    </row>
    <row r="371" spans="1:4" x14ac:dyDescent="0.2">
      <c r="A371" s="13"/>
      <c r="B371" s="20"/>
      <c r="C371" s="16"/>
      <c r="D371" s="16"/>
    </row>
    <row r="372" spans="1:4" x14ac:dyDescent="0.2">
      <c r="A372" s="13"/>
      <c r="B372" s="20"/>
      <c r="C372" s="16"/>
      <c r="D372" s="16"/>
    </row>
    <row r="373" spans="1:4" x14ac:dyDescent="0.2">
      <c r="A373" s="13"/>
      <c r="B373" s="20"/>
      <c r="C373" s="16"/>
      <c r="D373" s="16"/>
    </row>
    <row r="374" spans="1:4" x14ac:dyDescent="0.2">
      <c r="A374" s="13"/>
      <c r="B374" s="20"/>
      <c r="C374" s="16"/>
      <c r="D374" s="16"/>
    </row>
    <row r="375" spans="1:4" x14ac:dyDescent="0.2">
      <c r="A375" s="13"/>
      <c r="B375" s="20"/>
      <c r="C375" s="16"/>
      <c r="D375" s="16"/>
    </row>
    <row r="376" spans="1:4" x14ac:dyDescent="0.2">
      <c r="A376" s="13"/>
      <c r="B376" s="20"/>
      <c r="C376" s="16"/>
      <c r="D376" s="16"/>
    </row>
    <row r="377" spans="1:4" x14ac:dyDescent="0.2">
      <c r="A377" s="13"/>
      <c r="B377" s="20"/>
      <c r="C377" s="16"/>
      <c r="D377" s="16"/>
    </row>
    <row r="378" spans="1:4" x14ac:dyDescent="0.2">
      <c r="A378" s="13"/>
      <c r="B378" s="20"/>
      <c r="C378" s="16"/>
      <c r="D378" s="16"/>
    </row>
    <row r="379" spans="1:4" x14ac:dyDescent="0.2">
      <c r="A379" s="13"/>
      <c r="B379" s="20"/>
      <c r="C379" s="16"/>
      <c r="D379" s="16"/>
    </row>
    <row r="380" spans="1:4" x14ac:dyDescent="0.2">
      <c r="A380" s="13"/>
      <c r="B380" s="20"/>
      <c r="C380" s="16"/>
      <c r="D380" s="16"/>
    </row>
    <row r="381" spans="1:4" x14ac:dyDescent="0.2">
      <c r="A381" s="13"/>
      <c r="B381" s="20"/>
      <c r="C381" s="16"/>
      <c r="D381" s="16"/>
    </row>
    <row r="382" spans="1:4" x14ac:dyDescent="0.2">
      <c r="A382" s="13"/>
      <c r="B382" s="20"/>
      <c r="C382" s="16"/>
      <c r="D382" s="16"/>
    </row>
    <row r="383" spans="1:4" x14ac:dyDescent="0.2">
      <c r="A383" s="13"/>
      <c r="B383" s="20"/>
      <c r="C383" s="16"/>
      <c r="D383" s="16"/>
    </row>
    <row r="384" spans="1:4" x14ac:dyDescent="0.2">
      <c r="A384" s="13"/>
      <c r="B384" s="20"/>
      <c r="C384" s="16"/>
      <c r="D384" s="16"/>
    </row>
    <row r="385" spans="1:4" x14ac:dyDescent="0.2">
      <c r="A385" s="13"/>
      <c r="B385" s="20"/>
      <c r="C385" s="16"/>
      <c r="D385" s="16"/>
    </row>
    <row r="386" spans="1:4" x14ac:dyDescent="0.2">
      <c r="A386" s="13"/>
      <c r="B386" s="20"/>
      <c r="C386" s="16"/>
      <c r="D386" s="16"/>
    </row>
    <row r="387" spans="1:4" x14ac:dyDescent="0.2">
      <c r="A387" s="13"/>
      <c r="B387" s="20"/>
      <c r="C387" s="16"/>
      <c r="D387" s="16"/>
    </row>
    <row r="388" spans="1:4" x14ac:dyDescent="0.2">
      <c r="A388" s="13"/>
      <c r="B388" s="20"/>
      <c r="C388" s="16"/>
      <c r="D388" s="16"/>
    </row>
    <row r="389" spans="1:4" x14ac:dyDescent="0.2">
      <c r="A389" s="13"/>
      <c r="B389" s="20"/>
      <c r="C389" s="16"/>
      <c r="D389" s="16"/>
    </row>
    <row r="390" spans="1:4" x14ac:dyDescent="0.2">
      <c r="A390" s="13"/>
      <c r="B390" s="20"/>
      <c r="C390" s="16"/>
      <c r="D390" s="16"/>
    </row>
    <row r="391" spans="1:4" x14ac:dyDescent="0.2">
      <c r="A391" s="13"/>
      <c r="B391" s="20"/>
      <c r="C391" s="16"/>
      <c r="D391" s="16"/>
    </row>
    <row r="392" spans="1:4" x14ac:dyDescent="0.2">
      <c r="A392" s="13"/>
      <c r="B392" s="20"/>
      <c r="C392" s="16"/>
      <c r="D392" s="16"/>
    </row>
    <row r="393" spans="1:4" x14ac:dyDescent="0.2">
      <c r="A393" s="13"/>
      <c r="B393" s="20"/>
      <c r="C393" s="16"/>
      <c r="D393" s="16"/>
    </row>
    <row r="394" spans="1:4" x14ac:dyDescent="0.2">
      <c r="A394" s="13"/>
      <c r="B394" s="20"/>
      <c r="C394" s="16"/>
      <c r="D394" s="16"/>
    </row>
    <row r="395" spans="1:4" x14ac:dyDescent="0.2">
      <c r="A395" s="13"/>
      <c r="B395" s="20"/>
      <c r="C395" s="16"/>
      <c r="D395" s="16"/>
    </row>
    <row r="396" spans="1:4" x14ac:dyDescent="0.2">
      <c r="A396" s="13"/>
      <c r="B396" s="20"/>
      <c r="C396" s="16"/>
      <c r="D396" s="21"/>
    </row>
    <row r="397" spans="1:4" x14ac:dyDescent="0.2">
      <c r="A397" s="13"/>
      <c r="B397" s="20"/>
      <c r="C397" s="16"/>
      <c r="D397" s="21"/>
    </row>
    <row r="398" spans="1:4" x14ac:dyDescent="0.2">
      <c r="A398" s="13"/>
      <c r="B398" s="20"/>
      <c r="C398" s="21"/>
      <c r="D398" s="21"/>
    </row>
    <row r="399" spans="1:4" x14ac:dyDescent="0.2">
      <c r="A399" s="13"/>
      <c r="B399" s="20"/>
      <c r="C399" s="21"/>
      <c r="D399" s="21"/>
    </row>
    <row r="400" spans="1:4" x14ac:dyDescent="0.2">
      <c r="A400" s="13"/>
      <c r="B400" s="20"/>
      <c r="C400" s="21"/>
      <c r="D400" s="21"/>
    </row>
    <row r="401" spans="1:4" x14ac:dyDescent="0.2">
      <c r="A401" s="13"/>
      <c r="B401" s="20"/>
      <c r="C401" s="21"/>
      <c r="D401" s="21"/>
    </row>
    <row r="402" spans="1:4" x14ac:dyDescent="0.2">
      <c r="A402" s="13"/>
      <c r="B402" s="20"/>
      <c r="C402" s="21"/>
      <c r="D402" s="21"/>
    </row>
    <row r="403" spans="1:4" x14ac:dyDescent="0.2">
      <c r="A403" s="13"/>
      <c r="B403" s="20"/>
      <c r="C403" s="21"/>
      <c r="D403" s="21"/>
    </row>
    <row r="404" spans="1:4" x14ac:dyDescent="0.2">
      <c r="A404" s="13"/>
      <c r="B404" s="20"/>
      <c r="C404" s="21"/>
      <c r="D404" s="21"/>
    </row>
    <row r="405" spans="1:4" x14ac:dyDescent="0.2">
      <c r="A405" s="13"/>
      <c r="B405" s="20"/>
      <c r="C405" s="21"/>
      <c r="D405" s="21"/>
    </row>
    <row r="406" spans="1:4" x14ac:dyDescent="0.2">
      <c r="A406" s="13"/>
      <c r="B406" s="20"/>
      <c r="C406" s="21"/>
      <c r="D406" s="21"/>
    </row>
    <row r="407" spans="1:4" x14ac:dyDescent="0.2">
      <c r="A407" s="13"/>
      <c r="B407" s="20"/>
      <c r="C407" s="21"/>
      <c r="D407" s="21"/>
    </row>
    <row r="408" spans="1:4" x14ac:dyDescent="0.2">
      <c r="A408" s="13"/>
      <c r="B408" s="20"/>
      <c r="C408" s="21"/>
      <c r="D408" s="21"/>
    </row>
    <row r="409" spans="1:4" x14ac:dyDescent="0.2">
      <c r="A409" s="13"/>
      <c r="B409" s="20"/>
      <c r="C409" s="21"/>
      <c r="D409" s="21"/>
    </row>
    <row r="410" spans="1:4" x14ac:dyDescent="0.2">
      <c r="A410" s="13"/>
      <c r="B410" s="20"/>
      <c r="C410" s="21"/>
      <c r="D410" s="21"/>
    </row>
    <row r="411" spans="1:4" x14ac:dyDescent="0.2">
      <c r="A411" s="13"/>
      <c r="B411" s="20"/>
      <c r="C411" s="21"/>
      <c r="D411" s="21"/>
    </row>
    <row r="412" spans="1:4" x14ac:dyDescent="0.2">
      <c r="A412" s="13"/>
      <c r="B412" s="20"/>
      <c r="C412" s="21"/>
      <c r="D412" s="21"/>
    </row>
    <row r="413" spans="1:4" x14ac:dyDescent="0.2">
      <c r="A413" s="13"/>
      <c r="B413" s="20"/>
      <c r="C413" s="21"/>
      <c r="D413" s="21"/>
    </row>
    <row r="414" spans="1:4" x14ac:dyDescent="0.2">
      <c r="A414" s="13"/>
      <c r="B414" s="20"/>
      <c r="C414" s="21"/>
      <c r="D414" s="21"/>
    </row>
    <row r="415" spans="1:4" x14ac:dyDescent="0.2">
      <c r="A415" s="13"/>
      <c r="B415" s="20"/>
      <c r="C415" s="21"/>
      <c r="D415" s="21"/>
    </row>
    <row r="416" spans="1:4" x14ac:dyDescent="0.2">
      <c r="A416" s="13"/>
      <c r="B416" s="20"/>
      <c r="C416" s="21"/>
      <c r="D416" s="21"/>
    </row>
    <row r="417" spans="1:4" x14ac:dyDescent="0.2">
      <c r="A417" s="13"/>
      <c r="B417" s="20"/>
      <c r="C417" s="21"/>
      <c r="D417" s="21"/>
    </row>
    <row r="418" spans="1:4" x14ac:dyDescent="0.2">
      <c r="A418" s="13"/>
      <c r="B418" s="20"/>
      <c r="C418" s="21"/>
      <c r="D418" s="21"/>
    </row>
    <row r="419" spans="1:4" x14ac:dyDescent="0.2">
      <c r="A419" s="13"/>
      <c r="B419" s="20"/>
      <c r="C419" s="21"/>
      <c r="D419" s="21"/>
    </row>
    <row r="420" spans="1:4" x14ac:dyDescent="0.2">
      <c r="A420" s="13"/>
      <c r="B420" s="20"/>
      <c r="C420" s="21"/>
      <c r="D420" s="21"/>
    </row>
    <row r="421" spans="1:4" x14ac:dyDescent="0.2">
      <c r="A421" s="13"/>
      <c r="B421" s="20"/>
      <c r="C421" s="21"/>
      <c r="D421" s="21"/>
    </row>
    <row r="422" spans="1:4" x14ac:dyDescent="0.2">
      <c r="A422" s="13"/>
      <c r="B422" s="20"/>
      <c r="C422" s="21"/>
      <c r="D422" s="21"/>
    </row>
    <row r="423" spans="1:4" x14ac:dyDescent="0.2">
      <c r="A423" s="13"/>
      <c r="B423" s="20"/>
      <c r="C423" s="21"/>
      <c r="D423" s="21"/>
    </row>
    <row r="424" spans="1:4" x14ac:dyDescent="0.2">
      <c r="A424" s="13"/>
      <c r="B424" s="20"/>
      <c r="C424" s="21"/>
      <c r="D424" s="21"/>
    </row>
    <row r="425" spans="1:4" x14ac:dyDescent="0.2">
      <c r="A425" s="13"/>
      <c r="B425" s="20"/>
      <c r="C425" s="21"/>
      <c r="D425" s="21"/>
    </row>
    <row r="426" spans="1:4" x14ac:dyDescent="0.2">
      <c r="A426" s="13"/>
      <c r="B426" s="20"/>
      <c r="C426" s="21"/>
      <c r="D426" s="21"/>
    </row>
    <row r="427" spans="1:4" x14ac:dyDescent="0.2">
      <c r="A427" s="13"/>
      <c r="B427" s="20"/>
      <c r="C427" s="21"/>
      <c r="D427" s="21"/>
    </row>
    <row r="428" spans="1:4" x14ac:dyDescent="0.2">
      <c r="A428" s="13"/>
      <c r="B428" s="20"/>
      <c r="C428" s="21"/>
      <c r="D428" s="21"/>
    </row>
    <row r="429" spans="1:4" x14ac:dyDescent="0.2">
      <c r="A429" s="13"/>
      <c r="B429" s="20"/>
      <c r="C429" s="21"/>
      <c r="D429" s="21"/>
    </row>
    <row r="430" spans="1:4" x14ac:dyDescent="0.2">
      <c r="A430" s="13"/>
      <c r="B430" s="20"/>
      <c r="C430" s="21"/>
      <c r="D430" s="21"/>
    </row>
    <row r="431" spans="1:4" x14ac:dyDescent="0.2">
      <c r="A431" s="13"/>
      <c r="B431" s="20"/>
      <c r="C431" s="21"/>
      <c r="D431" s="21"/>
    </row>
    <row r="432" spans="1:4" x14ac:dyDescent="0.2">
      <c r="A432" s="13"/>
      <c r="B432" s="20"/>
      <c r="C432" s="21"/>
      <c r="D432" s="21"/>
    </row>
    <row r="433" spans="1:4" x14ac:dyDescent="0.2">
      <c r="A433" s="13"/>
      <c r="B433" s="20"/>
      <c r="C433" s="21"/>
      <c r="D433" s="21"/>
    </row>
    <row r="434" spans="1:4" x14ac:dyDescent="0.2">
      <c r="A434" s="13"/>
      <c r="B434" s="20"/>
      <c r="C434" s="21"/>
      <c r="D434" s="21"/>
    </row>
    <row r="435" spans="1:4" x14ac:dyDescent="0.2">
      <c r="A435" s="13"/>
      <c r="B435" s="20"/>
      <c r="C435" s="21"/>
      <c r="D435" s="21"/>
    </row>
    <row r="436" spans="1:4" x14ac:dyDescent="0.2">
      <c r="A436" s="13"/>
      <c r="B436" s="20"/>
      <c r="C436" s="21"/>
      <c r="D436" s="21"/>
    </row>
    <row r="437" spans="1:4" x14ac:dyDescent="0.2">
      <c r="A437" s="13"/>
      <c r="B437" s="20"/>
      <c r="C437" s="21"/>
      <c r="D437" s="21"/>
    </row>
    <row r="438" spans="1:4" x14ac:dyDescent="0.2">
      <c r="A438" s="13"/>
      <c r="B438" s="20"/>
      <c r="C438" s="21"/>
      <c r="D438" s="21"/>
    </row>
    <row r="439" spans="1:4" x14ac:dyDescent="0.2">
      <c r="A439" s="13"/>
      <c r="B439" s="20"/>
      <c r="C439" s="21"/>
      <c r="D439" s="21"/>
    </row>
    <row r="440" spans="1:4" x14ac:dyDescent="0.2">
      <c r="A440" s="13"/>
      <c r="B440" s="20"/>
      <c r="C440" s="21"/>
      <c r="D440" s="21"/>
    </row>
    <row r="441" spans="1:4" x14ac:dyDescent="0.2">
      <c r="A441" s="13"/>
      <c r="B441" s="20"/>
      <c r="C441" s="21"/>
      <c r="D441" s="21"/>
    </row>
    <row r="442" spans="1:4" x14ac:dyDescent="0.2">
      <c r="A442" s="13"/>
      <c r="B442" s="20"/>
      <c r="C442" s="21"/>
      <c r="D442" s="2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42430A-F5C4-164D-9D51-69EB59FED88C}">
  <dimension ref="A1:AA49"/>
  <sheetViews>
    <sheetView zoomScale="125" workbookViewId="0">
      <selection activeCell="B1" sqref="B1"/>
    </sheetView>
    <sheetView workbookViewId="1">
      <selection activeCell="G6" sqref="G6"/>
    </sheetView>
  </sheetViews>
  <sheetFormatPr baseColWidth="10" defaultRowHeight="15" x14ac:dyDescent="0.2"/>
  <cols>
    <col min="1" max="1" width="13" bestFit="1" customWidth="1"/>
    <col min="2" max="2" width="8.6640625" bestFit="1" customWidth="1"/>
    <col min="3" max="3" width="13.33203125" customWidth="1"/>
    <col min="4" max="4" width="12.1640625" bestFit="1" customWidth="1"/>
    <col min="7" max="7" width="13.1640625" bestFit="1" customWidth="1"/>
    <col min="10" max="10" width="13.83203125" bestFit="1" customWidth="1"/>
  </cols>
  <sheetData>
    <row r="1" spans="1:27" ht="16" x14ac:dyDescent="0.2">
      <c r="A1" s="14" t="s">
        <v>72</v>
      </c>
      <c r="B1" s="14" t="s">
        <v>100</v>
      </c>
      <c r="C1" s="14" t="s">
        <v>73</v>
      </c>
      <c r="D1" s="44" t="s">
        <v>74</v>
      </c>
      <c r="E1" s="14" t="s">
        <v>75</v>
      </c>
      <c r="J1" s="13" t="s">
        <v>76</v>
      </c>
      <c r="K1" s="13"/>
      <c r="L1" s="13" t="s">
        <v>77</v>
      </c>
    </row>
    <row r="2" spans="1:27" x14ac:dyDescent="0.2">
      <c r="A2" s="38" t="s">
        <v>78</v>
      </c>
      <c r="B2" s="39">
        <v>7.0999999999999994E-2</v>
      </c>
      <c r="C2" s="39">
        <v>2.7044799999999999E-7</v>
      </c>
      <c r="D2" s="45">
        <v>2.7044799999999999E-5</v>
      </c>
      <c r="E2" s="38">
        <v>18.63</v>
      </c>
      <c r="J2" s="13" t="s">
        <v>79</v>
      </c>
      <c r="K2" s="19">
        <v>7.0000000000000001E-3</v>
      </c>
      <c r="L2" s="13" t="s">
        <v>16</v>
      </c>
    </row>
    <row r="3" spans="1:27" x14ac:dyDescent="0.2">
      <c r="A3" s="38" t="s">
        <v>80</v>
      </c>
      <c r="B3" s="39">
        <v>7.9200000000000007E-2</v>
      </c>
      <c r="C3" s="39">
        <v>3.01393E-7</v>
      </c>
      <c r="D3" s="45">
        <v>3.0139300000000001E-5</v>
      </c>
      <c r="E3" s="40">
        <v>15.5</v>
      </c>
      <c r="J3" s="13" t="s">
        <v>81</v>
      </c>
      <c r="K3" s="13">
        <v>0.93</v>
      </c>
      <c r="L3" s="13" t="s">
        <v>82</v>
      </c>
    </row>
    <row r="4" spans="1:27" x14ac:dyDescent="0.2">
      <c r="A4" s="38" t="s">
        <v>83</v>
      </c>
      <c r="B4" s="39">
        <v>5.0500000000000003E-2</v>
      </c>
      <c r="C4" s="39">
        <v>1.92096E-7</v>
      </c>
      <c r="D4" s="45">
        <v>1.92096E-5</v>
      </c>
      <c r="E4" s="40">
        <v>33.299999999999997</v>
      </c>
      <c r="J4" s="13" t="s">
        <v>84</v>
      </c>
      <c r="K4" s="13">
        <v>1785</v>
      </c>
      <c r="L4" s="13" t="s">
        <v>82</v>
      </c>
    </row>
    <row r="5" spans="1:27" ht="16" x14ac:dyDescent="0.2">
      <c r="A5" s="38" t="s">
        <v>85</v>
      </c>
      <c r="B5" s="39">
        <v>5.1700000000000003E-2</v>
      </c>
      <c r="C5" s="39">
        <v>1.9665500000000001E-7</v>
      </c>
      <c r="D5" s="45">
        <v>1.96655E-5</v>
      </c>
      <c r="E5" s="40">
        <v>32</v>
      </c>
      <c r="J5" s="13" t="s">
        <v>86</v>
      </c>
      <c r="K5" s="23">
        <v>0.89</v>
      </c>
      <c r="L5" s="13" t="s">
        <v>87</v>
      </c>
    </row>
    <row r="6" spans="1:27" x14ac:dyDescent="0.2">
      <c r="A6" s="40" t="s">
        <v>42</v>
      </c>
      <c r="B6" s="39">
        <v>2.2800000000000001E-2</v>
      </c>
      <c r="C6" s="39">
        <v>8.6914499999999994E-8</v>
      </c>
      <c r="D6" s="45">
        <v>8.6914499999999996E-6</v>
      </c>
      <c r="E6" s="33">
        <v>128</v>
      </c>
      <c r="J6" s="13" t="s">
        <v>88</v>
      </c>
      <c r="K6" s="18">
        <v>1.2129208640000001E-4</v>
      </c>
      <c r="L6" s="13" t="s">
        <v>101</v>
      </c>
    </row>
    <row r="7" spans="1:27" x14ac:dyDescent="0.2">
      <c r="A7" s="40" t="s">
        <v>43</v>
      </c>
      <c r="B7" s="39">
        <v>2.0400000000000001E-2</v>
      </c>
      <c r="C7" s="39">
        <v>7.7648600000000001E-8</v>
      </c>
      <c r="D7" s="45">
        <v>7.7648599999999997E-6</v>
      </c>
      <c r="E7" s="33">
        <v>155</v>
      </c>
      <c r="J7" s="13" t="s">
        <v>89</v>
      </c>
      <c r="K7" s="13">
        <v>0.38100000000000001</v>
      </c>
      <c r="L7" s="13" t="s">
        <v>90</v>
      </c>
    </row>
    <row r="8" spans="1:27" x14ac:dyDescent="0.2">
      <c r="A8" s="40" t="s">
        <v>44</v>
      </c>
      <c r="B8" s="39">
        <v>1.8599999999999998E-2</v>
      </c>
      <c r="C8" s="39">
        <v>7.0641000000000004E-8</v>
      </c>
      <c r="D8" s="45">
        <v>7.0640999999999998E-6</v>
      </c>
      <c r="E8" s="33">
        <v>182</v>
      </c>
      <c r="J8" s="13" t="s">
        <v>91</v>
      </c>
      <c r="K8" s="13">
        <v>25</v>
      </c>
      <c r="L8" s="13" t="s">
        <v>92</v>
      </c>
    </row>
    <row r="9" spans="1:27" x14ac:dyDescent="0.2">
      <c r="A9" s="40" t="s">
        <v>45</v>
      </c>
      <c r="B9" s="39">
        <v>1.7100000000000001E-2</v>
      </c>
      <c r="C9" s="39">
        <v>6.4930899999999995E-8</v>
      </c>
      <c r="D9" s="45">
        <v>6.4930899999999999E-6</v>
      </c>
      <c r="E9" s="33">
        <v>210</v>
      </c>
      <c r="J9" s="18" t="s">
        <v>93</v>
      </c>
      <c r="K9" s="18">
        <v>1</v>
      </c>
      <c r="L9" s="13"/>
    </row>
    <row r="10" spans="1:27" x14ac:dyDescent="0.2">
      <c r="A10" s="40" t="s">
        <v>46</v>
      </c>
      <c r="B10" s="39">
        <v>1.5900000000000001E-2</v>
      </c>
      <c r="C10" s="39">
        <v>6.0466099999999999E-8</v>
      </c>
      <c r="D10" s="45">
        <v>6.0466099999999997E-6</v>
      </c>
      <c r="E10" s="33">
        <v>237</v>
      </c>
      <c r="J10" s="18" t="s">
        <v>94</v>
      </c>
      <c r="K10" s="18">
        <v>1.5</v>
      </c>
      <c r="L10" s="13"/>
      <c r="Y10" s="24"/>
      <c r="Z10" s="24"/>
      <c r="AA10" s="25"/>
    </row>
    <row r="11" spans="1:27" x14ac:dyDescent="0.2">
      <c r="A11" s="40" t="s">
        <v>47</v>
      </c>
      <c r="B11" s="39">
        <v>1.49E-2</v>
      </c>
      <c r="C11" s="39">
        <v>5.6616999999999997E-8</v>
      </c>
      <c r="D11" s="45">
        <v>5.6617000000000004E-6</v>
      </c>
      <c r="E11" s="33">
        <v>265</v>
      </c>
      <c r="J11" s="18" t="s">
        <v>95</v>
      </c>
      <c r="K11" s="18">
        <v>0.38100000000000001</v>
      </c>
      <c r="L11" s="13"/>
      <c r="Y11" s="26"/>
      <c r="Z11" s="27"/>
      <c r="AA11" s="27"/>
    </row>
    <row r="12" spans="1:27" x14ac:dyDescent="0.2">
      <c r="A12" s="40" t="s">
        <v>48</v>
      </c>
      <c r="B12" s="39">
        <v>1.4E-2</v>
      </c>
      <c r="C12" s="39">
        <v>5.3472200000000002E-8</v>
      </c>
      <c r="D12" s="45">
        <v>5.3472199999999999E-6</v>
      </c>
      <c r="E12" s="33">
        <v>292</v>
      </c>
      <c r="J12" s="18" t="s">
        <v>96</v>
      </c>
      <c r="K12" s="18">
        <v>1.05</v>
      </c>
      <c r="L12" s="13"/>
      <c r="Y12" s="26"/>
      <c r="Z12" s="27"/>
      <c r="AA12" s="27"/>
    </row>
    <row r="13" spans="1:27" x14ac:dyDescent="0.2">
      <c r="A13" s="40" t="s">
        <v>49</v>
      </c>
      <c r="B13" s="39">
        <v>2.5499999999999998E-2</v>
      </c>
      <c r="C13" s="39">
        <v>9.7125599999999997E-8</v>
      </c>
      <c r="D13" s="39">
        <v>9.7125599999999997E-6</v>
      </c>
      <c r="E13" s="46">
        <v>106</v>
      </c>
      <c r="J13" s="18" t="s">
        <v>97</v>
      </c>
      <c r="K13" s="18">
        <v>1.6962843299999999</v>
      </c>
      <c r="L13" s="13"/>
      <c r="Y13" s="26"/>
      <c r="Z13" s="27"/>
      <c r="AA13" s="27"/>
    </row>
    <row r="14" spans="1:27" x14ac:dyDescent="0.2">
      <c r="A14" s="40" t="s">
        <v>50</v>
      </c>
      <c r="B14" s="39">
        <v>2.2200000000000001E-2</v>
      </c>
      <c r="C14" s="39">
        <v>8.4600700000000001E-8</v>
      </c>
      <c r="D14" s="39">
        <v>8.4600700000000001E-6</v>
      </c>
      <c r="E14" s="33">
        <v>134</v>
      </c>
      <c r="Y14" s="26"/>
      <c r="Z14" s="27"/>
      <c r="AA14" s="27"/>
    </row>
    <row r="15" spans="1:27" x14ac:dyDescent="0.2">
      <c r="A15" s="40" t="s">
        <v>57</v>
      </c>
      <c r="B15" s="39">
        <v>1.8100000000000002E-2</v>
      </c>
      <c r="C15" s="39">
        <v>6.9088000000000003E-8</v>
      </c>
      <c r="D15" s="39">
        <v>6.9087999999999998E-6</v>
      </c>
      <c r="E15" s="33">
        <v>189</v>
      </c>
      <c r="Y15" s="26"/>
      <c r="Z15" s="27"/>
      <c r="AA15" s="27"/>
    </row>
    <row r="16" spans="1:27" x14ac:dyDescent="0.2">
      <c r="A16" s="40" t="s">
        <v>51</v>
      </c>
      <c r="B16" s="39">
        <v>1.9900000000000001E-2</v>
      </c>
      <c r="C16" s="39">
        <v>7.5654499999999998E-8</v>
      </c>
      <c r="D16" s="39">
        <v>7.5654499999999997E-6</v>
      </c>
      <c r="E16" s="33">
        <v>162</v>
      </c>
      <c r="Y16" s="26"/>
      <c r="Z16" s="27"/>
      <c r="AA16" s="27"/>
    </row>
    <row r="17" spans="1:27" x14ac:dyDescent="0.2">
      <c r="A17" s="40" t="s">
        <v>52</v>
      </c>
      <c r="B17" s="39">
        <v>1.67E-2</v>
      </c>
      <c r="C17" s="39">
        <v>6.3688999999999995E-8</v>
      </c>
      <c r="D17" s="39">
        <v>6.3689000000000001E-6</v>
      </c>
      <c r="E17" s="33">
        <v>217</v>
      </c>
      <c r="Y17" s="26"/>
      <c r="Z17" s="27"/>
      <c r="AA17" s="27"/>
    </row>
    <row r="18" spans="1:27" x14ac:dyDescent="0.2">
      <c r="A18" s="40" t="s">
        <v>53</v>
      </c>
      <c r="B18" s="39">
        <v>1.46E-2</v>
      </c>
      <c r="C18" s="39">
        <v>5.5754200000000002E-8</v>
      </c>
      <c r="D18" s="39">
        <v>5.5754199999999997E-6</v>
      </c>
      <c r="E18" s="33">
        <v>272</v>
      </c>
      <c r="Y18" s="26"/>
      <c r="Z18" s="27"/>
      <c r="AA18" s="27"/>
    </row>
    <row r="19" spans="1:27" x14ac:dyDescent="0.2">
      <c r="A19" s="40" t="s">
        <v>54</v>
      </c>
      <c r="B19" s="39">
        <v>1.78E-2</v>
      </c>
      <c r="C19" s="39">
        <v>6.7827899999999998E-8</v>
      </c>
      <c r="D19" s="39">
        <v>6.7827899999999998E-6</v>
      </c>
      <c r="E19" s="33">
        <v>195</v>
      </c>
      <c r="Y19" s="26"/>
      <c r="Z19" s="27"/>
      <c r="AA19" s="27"/>
    </row>
    <row r="20" spans="1:27" x14ac:dyDescent="0.2">
      <c r="A20" s="40" t="s">
        <v>55</v>
      </c>
      <c r="B20" s="39">
        <v>1.54E-2</v>
      </c>
      <c r="C20" s="39">
        <v>5.8593900000000003E-8</v>
      </c>
      <c r="D20" s="39">
        <v>5.8593900000000003E-6</v>
      </c>
      <c r="E20" s="33">
        <v>250</v>
      </c>
      <c r="Y20" s="26"/>
      <c r="Z20" s="27"/>
      <c r="AA20" s="27"/>
    </row>
    <row r="21" spans="1:27" x14ac:dyDescent="0.2">
      <c r="A21" s="40" t="s">
        <v>56</v>
      </c>
      <c r="B21" s="39">
        <v>1.37E-2</v>
      </c>
      <c r="C21" s="39">
        <v>5.21178E-8</v>
      </c>
      <c r="D21" s="39">
        <v>5.2117800000000001E-6</v>
      </c>
      <c r="E21" s="33">
        <v>305</v>
      </c>
      <c r="Y21" s="26"/>
      <c r="Z21" s="27"/>
      <c r="AA21" s="27"/>
    </row>
    <row r="22" spans="1:27" x14ac:dyDescent="0.2">
      <c r="A22" s="40" t="s">
        <v>98</v>
      </c>
      <c r="B22" s="39">
        <v>1.5800000000000002E-2</v>
      </c>
      <c r="C22" s="39">
        <v>6.0019800000000007E-8</v>
      </c>
      <c r="D22" s="39">
        <v>6.0019799999999998E-6</v>
      </c>
      <c r="E22" s="33">
        <v>240</v>
      </c>
      <c r="Y22" s="26"/>
      <c r="Z22" s="27"/>
      <c r="AA22" s="27"/>
    </row>
    <row r="23" spans="1:27" x14ac:dyDescent="0.2">
      <c r="A23" s="40" t="s">
        <v>99</v>
      </c>
      <c r="B23" s="39">
        <v>1.5299999999999999E-2</v>
      </c>
      <c r="C23" s="39">
        <v>5.8319500000000002E-8</v>
      </c>
      <c r="D23" s="39">
        <v>5.8319500000000001E-6</v>
      </c>
      <c r="E23" s="33">
        <v>252</v>
      </c>
      <c r="Y23" s="26"/>
      <c r="Z23" s="27"/>
      <c r="AA23" s="27"/>
    </row>
    <row r="24" spans="1:27" x14ac:dyDescent="0.2">
      <c r="A24" s="26"/>
      <c r="B24" s="27"/>
      <c r="C24" s="27"/>
      <c r="Y24" s="26"/>
      <c r="Z24" s="27"/>
      <c r="AA24" s="27"/>
    </row>
    <row r="25" spans="1:27" x14ac:dyDescent="0.2">
      <c r="A25" s="26"/>
      <c r="B25" s="27"/>
      <c r="C25" s="27"/>
      <c r="Y25" s="26"/>
      <c r="Z25" s="27"/>
      <c r="AA25" s="27"/>
    </row>
    <row r="26" spans="1:27" x14ac:dyDescent="0.2">
      <c r="A26" s="26"/>
      <c r="B26" s="27"/>
      <c r="C26" s="27"/>
      <c r="Y26" s="26"/>
      <c r="Z26" s="27"/>
      <c r="AA26" s="27"/>
    </row>
    <row r="27" spans="1:27" x14ac:dyDescent="0.2">
      <c r="A27" s="26"/>
      <c r="B27" s="27"/>
      <c r="C27" s="27"/>
      <c r="Y27" s="26"/>
      <c r="Z27" s="27"/>
      <c r="AA27" s="27"/>
    </row>
    <row r="28" spans="1:27" x14ac:dyDescent="0.2">
      <c r="A28" s="26"/>
      <c r="B28" s="27"/>
      <c r="C28" s="27"/>
      <c r="Y28" s="26"/>
      <c r="Z28" s="27"/>
      <c r="AA28" s="27"/>
    </row>
    <row r="29" spans="1:27" x14ac:dyDescent="0.2">
      <c r="A29" s="26"/>
      <c r="B29" s="27"/>
      <c r="C29" s="27"/>
    </row>
    <row r="30" spans="1:27" x14ac:dyDescent="0.2">
      <c r="A30" s="26"/>
      <c r="B30" s="27"/>
      <c r="C30" s="27"/>
    </row>
    <row r="31" spans="1:27" x14ac:dyDescent="0.2">
      <c r="A31" s="26"/>
      <c r="B31" s="27"/>
      <c r="C31" s="27"/>
    </row>
    <row r="32" spans="1:27" x14ac:dyDescent="0.2">
      <c r="A32" s="26"/>
      <c r="B32" s="27"/>
      <c r="C32" s="27"/>
    </row>
    <row r="33" spans="1:25" x14ac:dyDescent="0.2">
      <c r="A33" s="26"/>
      <c r="B33" s="27"/>
      <c r="C33" s="27"/>
    </row>
    <row r="34" spans="1:25" x14ac:dyDescent="0.2">
      <c r="A34" s="26"/>
      <c r="B34" s="27"/>
      <c r="C34" s="27"/>
    </row>
    <row r="35" spans="1:25" x14ac:dyDescent="0.2">
      <c r="A35" s="43"/>
      <c r="B35" s="43"/>
      <c r="C35" s="43"/>
    </row>
    <row r="36" spans="1:25" x14ac:dyDescent="0.2">
      <c r="A36" s="43"/>
      <c r="B36" s="43"/>
      <c r="C36" s="27"/>
    </row>
    <row r="37" spans="1:25" x14ac:dyDescent="0.2">
      <c r="A37" s="43"/>
      <c r="B37" s="43"/>
      <c r="C37" s="27"/>
    </row>
    <row r="38" spans="1:25" x14ac:dyDescent="0.2">
      <c r="A38" s="43"/>
      <c r="B38" s="43"/>
      <c r="C38" s="27"/>
    </row>
    <row r="43" spans="1:25" x14ac:dyDescent="0.2">
      <c r="A43" s="6"/>
      <c r="B43" s="28"/>
      <c r="C43" s="28"/>
      <c r="D43" s="28"/>
      <c r="E43" s="28"/>
      <c r="F43" s="28"/>
      <c r="G43" s="28"/>
      <c r="H43" s="28"/>
      <c r="I43" s="28"/>
      <c r="J43" s="28"/>
      <c r="K43" s="28"/>
      <c r="L43" s="28"/>
      <c r="M43" s="28"/>
      <c r="N43" s="28"/>
      <c r="O43" s="28"/>
      <c r="P43" s="28"/>
      <c r="Q43" s="28"/>
      <c r="R43" s="28"/>
      <c r="S43" s="28"/>
      <c r="T43" s="28"/>
      <c r="U43" s="28"/>
      <c r="V43" s="28"/>
      <c r="W43" s="28"/>
      <c r="X43" s="28"/>
      <c r="Y43" s="28"/>
    </row>
    <row r="44" spans="1:25" x14ac:dyDescent="0.2">
      <c r="A44" s="6"/>
      <c r="B44" s="6"/>
      <c r="C44" s="6"/>
      <c r="D44" s="6"/>
      <c r="E44" s="6"/>
      <c r="F44" s="6"/>
      <c r="G44" s="6"/>
      <c r="H44" s="6"/>
      <c r="I44" s="6"/>
      <c r="J44" s="6"/>
      <c r="K44" s="6"/>
      <c r="L44" s="6"/>
      <c r="M44" s="6"/>
      <c r="N44" s="6"/>
      <c r="O44" s="6"/>
      <c r="P44" s="6"/>
      <c r="Q44" s="6"/>
      <c r="R44" s="6"/>
      <c r="S44" s="6"/>
      <c r="T44" s="6"/>
      <c r="U44" s="6"/>
      <c r="V44" s="6"/>
      <c r="W44" s="6"/>
      <c r="X44" s="10"/>
      <c r="Y44" s="6"/>
    </row>
    <row r="45" spans="1:25" x14ac:dyDescent="0.2">
      <c r="A45" s="11"/>
      <c r="B45" s="11"/>
      <c r="C45" s="11"/>
      <c r="D45" s="11"/>
      <c r="E45" s="11"/>
      <c r="F45" s="11"/>
      <c r="G45" s="11"/>
      <c r="H45" s="11"/>
      <c r="I45" s="11"/>
      <c r="J45" s="11"/>
      <c r="K45" s="11"/>
      <c r="L45" s="11"/>
      <c r="M45" s="11"/>
      <c r="N45" s="11"/>
      <c r="O45" s="11"/>
      <c r="P45" s="11"/>
      <c r="Q45" s="11"/>
      <c r="R45" s="11"/>
      <c r="S45" s="11"/>
      <c r="T45" s="11"/>
      <c r="U45" s="11"/>
      <c r="V45" s="11"/>
      <c r="W45" s="11"/>
      <c r="X45" s="11"/>
      <c r="Y45" s="11"/>
    </row>
    <row r="46" spans="1:25" x14ac:dyDescent="0.2">
      <c r="A46" s="6"/>
      <c r="B46" s="6"/>
      <c r="C46" s="6"/>
      <c r="D46" s="6"/>
      <c r="E46" s="6"/>
      <c r="F46" s="6"/>
      <c r="G46" s="6"/>
      <c r="H46" s="6"/>
      <c r="I46" s="6"/>
      <c r="J46" s="6"/>
      <c r="K46" s="6"/>
      <c r="L46" s="6"/>
      <c r="M46" s="6"/>
      <c r="N46" s="6"/>
      <c r="O46" s="6"/>
      <c r="P46" s="6"/>
      <c r="Q46" s="6"/>
      <c r="R46" s="6"/>
      <c r="S46" s="6"/>
      <c r="T46" s="6"/>
      <c r="U46" s="6"/>
      <c r="V46" s="6"/>
      <c r="W46" s="6"/>
      <c r="X46" s="6"/>
      <c r="Y46" s="6"/>
    </row>
    <row r="47" spans="1:25" x14ac:dyDescent="0.2">
      <c r="A47" s="12"/>
      <c r="B47" s="12"/>
      <c r="C47" s="12"/>
      <c r="D47" s="12"/>
      <c r="E47" s="12"/>
      <c r="F47" s="12"/>
      <c r="G47" s="12"/>
      <c r="H47" s="12"/>
      <c r="I47" s="12"/>
      <c r="J47" s="12"/>
      <c r="K47" s="12"/>
      <c r="L47" s="12"/>
      <c r="M47" s="12"/>
      <c r="N47" s="12"/>
      <c r="O47" s="12"/>
      <c r="P47" s="12"/>
      <c r="Q47" s="12"/>
      <c r="R47" s="12"/>
      <c r="S47" s="12"/>
      <c r="T47" s="12"/>
      <c r="U47" s="12"/>
      <c r="V47" s="12"/>
      <c r="W47" s="12"/>
      <c r="X47" s="12"/>
      <c r="Y47" s="12"/>
    </row>
    <row r="48" spans="1:25" x14ac:dyDescent="0.2">
      <c r="A48" s="6"/>
      <c r="B48" s="6"/>
      <c r="C48" s="6"/>
      <c r="D48" s="6"/>
      <c r="E48" s="6"/>
      <c r="F48" s="12"/>
      <c r="G48" s="12"/>
      <c r="H48" s="6"/>
      <c r="I48" s="6"/>
      <c r="J48" s="12"/>
      <c r="K48" s="6"/>
      <c r="L48" s="6"/>
      <c r="M48" s="12"/>
      <c r="N48" s="6"/>
      <c r="O48" s="6"/>
      <c r="P48" s="6"/>
      <c r="Q48" s="6"/>
      <c r="R48" s="12"/>
      <c r="S48" s="6"/>
      <c r="T48" s="6"/>
      <c r="U48" s="6"/>
      <c r="V48" s="6"/>
      <c r="W48" s="6"/>
      <c r="X48" s="6"/>
      <c r="Y48" s="6"/>
    </row>
    <row r="49" spans="1:25" x14ac:dyDescent="0.2">
      <c r="A49" s="6"/>
      <c r="B49" s="6"/>
      <c r="C49" s="6"/>
      <c r="D49" s="6"/>
      <c r="E49" s="6"/>
      <c r="F49" s="6"/>
      <c r="G49" s="6"/>
      <c r="H49" s="6"/>
      <c r="I49" s="6"/>
      <c r="J49" s="6"/>
      <c r="K49" s="6"/>
      <c r="L49" s="6"/>
      <c r="M49" s="6"/>
      <c r="N49" s="6"/>
      <c r="O49" s="6"/>
      <c r="P49" s="6"/>
      <c r="Q49" s="6"/>
      <c r="R49" s="6"/>
      <c r="S49" s="6"/>
      <c r="T49" s="6"/>
      <c r="U49" s="6"/>
      <c r="V49" s="6"/>
      <c r="W49" s="6"/>
      <c r="X49" s="6"/>
      <c r="Y49" s="6"/>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257DF-418B-48B7-8133-ABF04E7715B5}">
  <dimension ref="A1:B9"/>
  <sheetViews>
    <sheetView zoomScale="69" workbookViewId="0">
      <selection activeCell="B4" sqref="B4"/>
    </sheetView>
    <sheetView workbookViewId="1"/>
  </sheetViews>
  <sheetFormatPr baseColWidth="10" defaultColWidth="8.83203125" defaultRowHeight="31" x14ac:dyDescent="0.35"/>
  <cols>
    <col min="1" max="1" width="9.1640625" style="2"/>
    <col min="2" max="2" width="148" style="3" customWidth="1"/>
  </cols>
  <sheetData>
    <row r="1" spans="1:2" ht="32" x14ac:dyDescent="0.35">
      <c r="B1" s="4" t="s">
        <v>35</v>
      </c>
    </row>
    <row r="2" spans="1:2" ht="64" x14ac:dyDescent="0.35">
      <c r="A2" s="2">
        <v>1</v>
      </c>
      <c r="B2" s="3" t="s">
        <v>36</v>
      </c>
    </row>
    <row r="3" spans="1:2" ht="64" x14ac:dyDescent="0.35">
      <c r="A3" s="2">
        <v>2</v>
      </c>
      <c r="B3" s="3" t="s">
        <v>37</v>
      </c>
    </row>
    <row r="4" spans="1:2" ht="128" x14ac:dyDescent="0.35">
      <c r="A4" s="2">
        <v>3</v>
      </c>
      <c r="B4" s="3" t="s">
        <v>41</v>
      </c>
    </row>
    <row r="6" spans="1:2" ht="64" x14ac:dyDescent="0.35">
      <c r="A6" s="2">
        <v>4</v>
      </c>
      <c r="B6" s="3" t="s">
        <v>38</v>
      </c>
    </row>
    <row r="7" spans="1:2" ht="64" x14ac:dyDescent="0.35">
      <c r="A7" s="2">
        <v>5</v>
      </c>
      <c r="B7" s="3" t="s">
        <v>39</v>
      </c>
    </row>
    <row r="9" spans="1:2" ht="64" x14ac:dyDescent="0.35">
      <c r="A9" s="2">
        <v>6</v>
      </c>
      <c r="B9" s="3" t="s">
        <v>40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mso-contentType ?>
<SharedContentType xmlns="Microsoft.SharePoint.Taxonomy.ContentTypeSync" SourceId="29f62856-1543-49d4-a736-4569d363f533" ContentTypeId="0x0101" PreviousValue="false"/>
</file>

<file path=customXml/item3.xml><?xml version="1.0" encoding="utf-8"?>
<ct:contentTypeSchema xmlns:ct="http://schemas.microsoft.com/office/2006/metadata/contentType" xmlns:ma="http://schemas.microsoft.com/office/2006/metadata/properties/metaAttributes" ct:_="" ma:_="" ma:contentTypeName="Document" ma:contentTypeID="0x010100AA3E377063FFE5489A04E78E6AF321F7" ma:contentTypeVersion="21" ma:contentTypeDescription="Create a new document." ma:contentTypeScope="" ma:versionID="0d56b0910c09b2f28088e837fc8a4b1f">
  <xsd:schema xmlns:xsd="http://www.w3.org/2001/XMLSchema" xmlns:xs="http://www.w3.org/2001/XMLSchema" xmlns:p="http://schemas.microsoft.com/office/2006/metadata/properties" xmlns:ns1="http://schemas.microsoft.com/sharepoint/v3" xmlns:ns3="4ffa91fb-a0ff-4ac5-b2db-65c790d184a4" xmlns:ns4="http://schemas.microsoft.com/sharepoint.v3" xmlns:ns5="http://schemas.microsoft.com/sharepoint/v3/fields" xmlns:ns6="ca243fbf-11ff-4731-ae3b-9fc118f3bbf4" xmlns:ns7="d75150bc-12f9-4c92-a7eb-e71bcd8ee9be" targetNamespace="http://schemas.microsoft.com/office/2006/metadata/properties" ma:root="true" ma:fieldsID="c38d2d5698dbedce593845e142ad0a0f" ns1:_="" ns3:_="" ns4:_="" ns5:_="" ns6:_="" ns7:_="">
    <xsd:import namespace="http://schemas.microsoft.com/sharepoint/v3"/>
    <xsd:import namespace="4ffa91fb-a0ff-4ac5-b2db-65c790d184a4"/>
    <xsd:import namespace="http://schemas.microsoft.com/sharepoint.v3"/>
    <xsd:import namespace="http://schemas.microsoft.com/sharepoint/v3/fields"/>
    <xsd:import namespace="ca243fbf-11ff-4731-ae3b-9fc118f3bbf4"/>
    <xsd:import namespace="d75150bc-12f9-4c92-a7eb-e71bcd8ee9be"/>
    <xsd:element name="properties">
      <xsd:complexType>
        <xsd:sequence>
          <xsd:element name="documentManagement">
            <xsd:complexType>
              <xsd:all>
                <xsd:element ref="ns3:Document_x0020_Creation_x0020_Date" minOccurs="0"/>
                <xsd:element ref="ns3:Creator" minOccurs="0"/>
                <xsd:element ref="ns3:EPA_x0020_Office" minOccurs="0"/>
                <xsd:element ref="ns3:Record" minOccurs="0"/>
                <xsd:element ref="ns4:CategoryDescription" minOccurs="0"/>
                <xsd:element ref="ns3:Identifier" minOccurs="0"/>
                <xsd:element ref="ns3:EPA_x0020_Contributor" minOccurs="0"/>
                <xsd:element ref="ns3:External_x0020_Contributor" minOccurs="0"/>
                <xsd:element ref="ns5:_Coverage" minOccurs="0"/>
                <xsd:element ref="ns3:EPA_x0020_Related_x0020_Documents" minOccurs="0"/>
                <xsd:element ref="ns5:_Source" minOccurs="0"/>
                <xsd:element ref="ns3:Rights" minOccurs="0"/>
                <xsd:element ref="ns1:Language" minOccurs="0"/>
                <xsd:element ref="ns3:j747ac98061d40f0aa7bd47e1db5675d" minOccurs="0"/>
                <xsd:element ref="ns3:TaxKeywordTaxHTField" minOccurs="0"/>
                <xsd:element ref="ns3:TaxCatchAllLabel" minOccurs="0"/>
                <xsd:element ref="ns3:TaxCatchAll" minOccurs="0"/>
                <xsd:element ref="ns6:SharedWithUsers" minOccurs="0"/>
                <xsd:element ref="ns6:SharedWithDetails" minOccurs="0"/>
                <xsd:element ref="ns6:SharingHintHash" minOccurs="0"/>
                <xsd:element ref="ns7:MediaServiceMetadata" minOccurs="0"/>
                <xsd:element ref="ns7:MediaServiceFastMetadata" minOccurs="0"/>
                <xsd:element ref="ns7:MediaServiceDateTaken" minOccurs="0"/>
                <xsd:element ref="ns7:MediaServiceAutoTags" minOccurs="0"/>
                <xsd:element ref="ns7:MediaServiceOCR" minOccurs="0"/>
                <xsd:element ref="ns6:Records_x0020_Status" minOccurs="0"/>
                <xsd:element ref="ns6:Records_x0020_Date" minOccurs="0"/>
                <xsd:element ref="ns7:MediaServiceEventHashCode" minOccurs="0"/>
                <xsd:element ref="ns7:MediaServiceGenerationTime" minOccurs="0"/>
                <xsd:element ref="ns7:MediaServiceAutoKeyPoints" minOccurs="0"/>
                <xsd:element ref="ns7: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Language" ma:index="17" nillable="true" ma:displayName="Language" ma:default="English" ma:description="Select the document language from the drop down." ma:format="Dropdown" ma:internalName="Language" ma:readOnly="false">
      <xsd:simpleType>
        <xsd:restriction base="dms:Choice">
          <xsd:enumeration value="Arabic (Saudi Arabia)"/>
          <xsd:enumeration value="Bulgarian (Bulgaria)"/>
          <xsd:enumeration value="Chinese (Hong Kong S.A.R.)"/>
          <xsd:enumeration value="Chinese (People's Republic of China)"/>
          <xsd:enumeration value="Chinese (Taiwan)"/>
          <xsd:enumeration value="Croatian (Croatia)"/>
          <xsd:enumeration value="Czech (Czech Republic)"/>
          <xsd:enumeration value="Danish (Denmark)"/>
          <xsd:enumeration value="Dutch (Netherlands)"/>
          <xsd:enumeration value="English"/>
          <xsd:enumeration value="Estonian (Estonia)"/>
          <xsd:enumeration value="Finnish (Finland)"/>
          <xsd:enumeration value="French (France)"/>
          <xsd:enumeration value="German (Germany)"/>
          <xsd:enumeration value="Greek (Greece)"/>
          <xsd:enumeration value="Hebrew (Israel)"/>
          <xsd:enumeration value="Hindi (India)"/>
          <xsd:enumeration value="Hungarian (Hungary)"/>
          <xsd:enumeration value="Indonesian (Indonesia)"/>
          <xsd:enumeration value="Italian (Italy)"/>
          <xsd:enumeration value="Japanese (Japan)"/>
          <xsd:enumeration value="Korean (Korea)"/>
          <xsd:enumeration value="Latvian (Latvia)"/>
          <xsd:enumeration value="Lithuanian (Lithuania)"/>
          <xsd:enumeration value="Malay (Malaysia)"/>
          <xsd:enumeration value="Norwegian (Bokmal) (Norway)"/>
          <xsd:enumeration value="Polish (Poland)"/>
          <xsd:enumeration value="Portuguese (Brazil)"/>
          <xsd:enumeration value="Portuguese (Portugal)"/>
          <xsd:enumeration value="Romanian (Romania)"/>
          <xsd:enumeration value="Russian (Russia)"/>
          <xsd:enumeration value="Serbian (Latin) (Serbia)"/>
          <xsd:enumeration value="Slovak (Slovakia)"/>
          <xsd:enumeration value="Slovenian (Slovenia)"/>
          <xsd:enumeration value="Spanish (Spain)"/>
          <xsd:enumeration value="Swedish (Sweden)"/>
          <xsd:enumeration value="Thai (Thailand)"/>
          <xsd:enumeration value="Turkish (Turkey)"/>
          <xsd:enumeration value="Ukrainian (Ukraine)"/>
          <xsd:enumeration value="Urdu (Islamic Republic of Pakistan)"/>
          <xsd:enumeration value="Vietnamese (Vietnam)"/>
        </xsd:restriction>
      </xsd:simpleType>
    </xsd:element>
  </xsd:schema>
  <xsd:schema xmlns:xsd="http://www.w3.org/2001/XMLSchema" xmlns:xs="http://www.w3.org/2001/XMLSchema" xmlns:dms="http://schemas.microsoft.com/office/2006/documentManagement/types" xmlns:pc="http://schemas.microsoft.com/office/infopath/2007/PartnerControls" targetNamespace="4ffa91fb-a0ff-4ac5-b2db-65c790d184a4" elementFormDefault="qualified">
    <xsd:import namespace="http://schemas.microsoft.com/office/2006/documentManagement/types"/>
    <xsd:import namespace="http://schemas.microsoft.com/office/infopath/2007/PartnerControls"/>
    <xsd:element name="Document_x0020_Creation_x0020_Date" ma:index="2" nillable="true" ma:displayName="Document Date" ma:default="[today]" ma:description="Enter the date this document was last modified. The upload date has been entered by default." ma:format="DateOnly" ma:internalName="Document_x0020_Creation_x0020_Date" ma:readOnly="false">
      <xsd:simpleType>
        <xsd:restriction base="dms:DateTime"/>
      </xsd:simpleType>
    </xsd:element>
    <xsd:element name="Creator" ma:index="3" nillable="true" ma:displayName="Creator" ma:description="Enter the person primarily responsible for the document. The name of the person uploading the document has been entered by default." ma:list="UserInfo" ma:SharePointGroup="0" ma:internalName="Creator"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EPA_x0020_Office" ma:index="4" nillable="true" ma:displayName="EPA Office" ma:description="Enter the EPA organization primarily responsible for the document. The office of the person uploading the document has been entered by default." ma:internalName="EPA_x0020_Office">
      <xsd:simpleType>
        <xsd:restriction base="dms:Text">
          <xsd:maxLength value="255"/>
        </xsd:restriction>
      </xsd:simpleType>
    </xsd:element>
    <xsd:element name="Record" ma:index="5" nillable="true" ma:displayName="Record" ma:default="Shared" ma:description="For documents that provide evidence of EPA decisions and actions, select &quot;Shared&quot; (open access) or &quot;Private&quot; (restricted access)." ma:format="Dropdown" ma:internalName="Record">
      <xsd:simpleType>
        <xsd:restriction base="dms:Choice">
          <xsd:enumeration value="None"/>
          <xsd:enumeration value="Shared"/>
          <xsd:enumeration value="Private"/>
        </xsd:restriction>
      </xsd:simpleType>
    </xsd:element>
    <xsd:element name="Identifier" ma:index="9" nillable="true" ma:displayName="Identifier" ma:description="Enter all EPA identification numbers applicable to this document, one on each line." ma:internalName="Identifier" ma:readOnly="false">
      <xsd:simpleType>
        <xsd:restriction base="dms:Note">
          <xsd:maxLength value="255"/>
        </xsd:restriction>
      </xsd:simpleType>
    </xsd:element>
    <xsd:element name="EPA_x0020_Contributor" ma:index="11" nillable="true" ma:displayName="EPA Contributor" ma:description="Enter an EPA person who contributed to the creation of the document but is not the primary author." ma:list="UserInfo" ma:SharePointGroup="0" ma:internalName="EPA_x0020_Contributor" ma:readOnly="false"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External_x0020_Contributor" ma:index="12" nillable="true" ma:displayName="External Contributor" ma:description="Enter a non-EPA person who contributed to the creation of the document but is not the primary author." ma:internalName="External_x0020_Contributor" ma:readOnly="false">
      <xsd:simpleType>
        <xsd:restriction base="dms:Note">
          <xsd:maxLength value="255"/>
        </xsd:restriction>
      </xsd:simpleType>
    </xsd:element>
    <xsd:element name="EPA_x0020_Related_x0020_Documents" ma:index="14" nillable="true" ma:displayName="Other Related Documents" ma:description="Enter any related document." ma:internalName="EPA_x0020_Related_x0020_Documents">
      <xsd:simpleType>
        <xsd:restriction base="dms:Note">
          <xsd:maxLength value="255"/>
        </xsd:restriction>
      </xsd:simpleType>
    </xsd:element>
    <xsd:element name="Rights" ma:index="16" nillable="true" ma:displayName="Rights" ma:description="Enter information about intellectual property rights held over the document (e.g. copyright, patent, trademark)." ma:internalName="Rights" ma:readOnly="false">
      <xsd:simpleType>
        <xsd:restriction base="dms:Note">
          <xsd:maxLength value="255"/>
        </xsd:restriction>
      </xsd:simpleType>
    </xsd:element>
    <xsd:element name="j747ac98061d40f0aa7bd47e1db5675d" ma:index="19" nillable="true" ma:taxonomy="true" ma:internalName="j747ac98061d40f0aa7bd47e1db5675d" ma:taxonomyFieldName="Document_x0020_Type" ma:displayName="Document Type" ma:readOnly="false" ma:default="" ma:fieldId="{3747ac98-061d-40f0-aa7b-d47e1db5675d}" ma:sspId="29f62856-1543-49d4-a736-4569d363f533" ma:termSetId="e06cd6a9-a175-4da0-81cb-8dba7aa394ab" ma:anchorId="00000000-0000-0000-0000-000000000000" ma:open="false" ma:isKeyword="false">
      <xsd:complexType>
        <xsd:sequence>
          <xsd:element ref="pc:Terms" minOccurs="0" maxOccurs="1"/>
        </xsd:sequence>
      </xsd:complexType>
    </xsd:element>
    <xsd:element name="TaxKeywordTaxHTField" ma:index="21" nillable="true" ma:taxonomy="true" ma:internalName="TaxKeywordTaxHTField" ma:taxonomyFieldName="TaxKeyword" ma:displayName="Enterprise Keywords" ma:readOnly="false" ma:fieldId="{23f27201-bee3-471e-b2e7-b64fd8b7ca38}" ma:taxonomyMulti="true" ma:sspId="29f62856-1543-49d4-a736-4569d363f533" ma:termSetId="00000000-0000-0000-0000-000000000000" ma:anchorId="00000000-0000-0000-0000-000000000000" ma:open="true" ma:isKeyword="true">
      <xsd:complexType>
        <xsd:sequence>
          <xsd:element ref="pc:Terms" minOccurs="0" maxOccurs="1"/>
        </xsd:sequence>
      </xsd:complexType>
    </xsd:element>
    <xsd:element name="TaxCatchAllLabel" ma:index="23" nillable="true" ma:displayName="Taxonomy Catch All Column1" ma:hidden="true" ma:list="{60f3e050-a167-4ccb-81b0-6594d9f55f70}" ma:internalName="TaxCatchAllLabel" ma:readOnly="true" ma:showField="CatchAllDataLabel" ma:web="ca243fbf-11ff-4731-ae3b-9fc118f3bbf4">
      <xsd:complexType>
        <xsd:complexContent>
          <xsd:extension base="dms:MultiChoiceLookup">
            <xsd:sequence>
              <xsd:element name="Value" type="dms:Lookup" maxOccurs="unbounded" minOccurs="0" nillable="true"/>
            </xsd:sequence>
          </xsd:extension>
        </xsd:complexContent>
      </xsd:complexType>
    </xsd:element>
    <xsd:element name="TaxCatchAll" ma:index="24" nillable="true" ma:displayName="Taxonomy Catch All Column" ma:hidden="true" ma:list="{60f3e050-a167-4ccb-81b0-6594d9f55f70}" ma:internalName="TaxCatchAll" ma:showField="CatchAllData" ma:web="ca243fbf-11ff-4731-ae3b-9fc118f3bbf4">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CategoryDescription" ma:index="6" nillable="true" ma:displayName="Description" ma:description="Enter a brief description." ma:internalName="CategoryDescription" ma:readOnly="fals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fields" elementFormDefault="qualified">
    <xsd:import namespace="http://schemas.microsoft.com/office/2006/documentManagement/types"/>
    <xsd:import namespace="http://schemas.microsoft.com/office/infopath/2007/PartnerControls"/>
    <xsd:element name="_Coverage" ma:index="13" nillable="true" ma:displayName="Coverage" ma:description="Enter the geographic location, jurisdiction, or time period for which the document is relevant." ma:internalName="_Coverage" ma:readOnly="false">
      <xsd:simpleType>
        <xsd:restriction base="dms:Text">
          <xsd:maxLength value="255"/>
        </xsd:restriction>
      </xsd:simpleType>
    </xsd:element>
    <xsd:element name="_Source" ma:index="15" nillable="true" ma:displayName="Source" ma:description="Enter a source from which the document is derived." ma:internalName="_Source" ma:readOnly="fals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ca243fbf-11ff-4731-ae3b-9fc118f3bbf4" elementFormDefault="qualified">
    <xsd:import namespace="http://schemas.microsoft.com/office/2006/documentManagement/types"/>
    <xsd:import namespace="http://schemas.microsoft.com/office/infopath/2007/PartnerControls"/>
    <xsd:element name="SharedWithUsers" ma:index="2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9" nillable="true" ma:displayName="Shared With Details" ma:description="" ma:internalName="SharedWithDetails" ma:readOnly="true">
      <xsd:simpleType>
        <xsd:restriction base="dms:Note">
          <xsd:maxLength value="255"/>
        </xsd:restriction>
      </xsd:simpleType>
    </xsd:element>
    <xsd:element name="SharingHintHash" ma:index="30" nillable="true" ma:displayName="Sharing Hint Hash" ma:description="" ma:internalName="SharingHintHash" ma:readOnly="true">
      <xsd:simpleType>
        <xsd:restriction base="dms:Text"/>
      </xsd:simpleType>
    </xsd:element>
    <xsd:element name="Records_x0020_Status" ma:index="36" nillable="true" ma:displayName="Records Status" ma:default="Pending" ma:internalName="Records_x0020_Status">
      <xsd:simpleType>
        <xsd:restriction base="dms:Text"/>
      </xsd:simpleType>
    </xsd:element>
    <xsd:element name="Records_x0020_Date" ma:index="37" nillable="true" ma:displayName="Records Date" ma:hidden="true" ma:internalName="Records_x0020_Dat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d75150bc-12f9-4c92-a7eb-e71bcd8ee9be" elementFormDefault="qualified">
    <xsd:import namespace="http://schemas.microsoft.com/office/2006/documentManagement/types"/>
    <xsd:import namespace="http://schemas.microsoft.com/office/infopath/2007/PartnerControls"/>
    <xsd:element name="MediaServiceMetadata" ma:index="31" nillable="true" ma:displayName="MediaServiceMetadata" ma:description="" ma:hidden="true" ma:internalName="MediaServiceMetadata" ma:readOnly="true">
      <xsd:simpleType>
        <xsd:restriction base="dms:Note"/>
      </xsd:simpleType>
    </xsd:element>
    <xsd:element name="MediaServiceFastMetadata" ma:index="32" nillable="true" ma:displayName="MediaServiceFastMetadata" ma:description="" ma:hidden="true" ma:internalName="MediaServiceFastMetadata" ma:readOnly="true">
      <xsd:simpleType>
        <xsd:restriction base="dms:Note"/>
      </xsd:simpleType>
    </xsd:element>
    <xsd:element name="MediaServiceDateTaken" ma:index="33" nillable="true" ma:displayName="MediaServiceDateTaken" ma:description="" ma:hidden="true" ma:internalName="MediaServiceDateTaken" ma:readOnly="true">
      <xsd:simpleType>
        <xsd:restriction base="dms:Text"/>
      </xsd:simpleType>
    </xsd:element>
    <xsd:element name="MediaServiceAutoTags" ma:index="34" nillable="true" ma:displayName="MediaServiceAutoTags" ma:internalName="MediaServiceAutoTags" ma:readOnly="true">
      <xsd:simpleType>
        <xsd:restriction base="dms:Text"/>
      </xsd:simpleType>
    </xsd:element>
    <xsd:element name="MediaServiceOCR" ma:index="35" nillable="true" ma:displayName="MediaServiceOCR" ma:internalName="MediaServiceOCR" ma:readOnly="true">
      <xsd:simpleType>
        <xsd:restriction base="dms:Note">
          <xsd:maxLength value="255"/>
        </xsd:restriction>
      </xsd:simpleType>
    </xsd:element>
    <xsd:element name="MediaServiceEventHashCode" ma:index="38" nillable="true" ma:displayName="MediaServiceEventHashCode" ma:hidden="true" ma:internalName="MediaServiceEventHashCode" ma:readOnly="true">
      <xsd:simpleType>
        <xsd:restriction base="dms:Text"/>
      </xsd:simpleType>
    </xsd:element>
    <xsd:element name="MediaServiceGenerationTime" ma:index="39" nillable="true" ma:displayName="MediaServiceGenerationTime" ma:hidden="true" ma:internalName="MediaServiceGenerationTime" ma:readOnly="true">
      <xsd:simpleType>
        <xsd:restriction base="dms:Text"/>
      </xsd:simpleType>
    </xsd:element>
    <xsd:element name="MediaServiceAutoKeyPoints" ma:index="40" nillable="true" ma:displayName="MediaServiceAutoKeyPoints" ma:hidden="true" ma:internalName="MediaServiceAutoKeyPoints" ma:readOnly="true">
      <xsd:simpleType>
        <xsd:restriction base="dms:Note"/>
      </xsd:simpleType>
    </xsd:element>
    <xsd:element name="MediaServiceKeyPoints" ma:index="41" nillable="true" ma:displayName="KeyPoints" ma:internalName="MediaServiceKeyPoint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25"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_Source xmlns="http://schemas.microsoft.com/sharepoint/v3/fields" xsi:nil="true"/>
    <Language xmlns="http://schemas.microsoft.com/sharepoint/v3">English</Language>
    <j747ac98061d40f0aa7bd47e1db5675d xmlns="4ffa91fb-a0ff-4ac5-b2db-65c790d184a4">
      <Terms xmlns="http://schemas.microsoft.com/office/infopath/2007/PartnerControls"/>
    </j747ac98061d40f0aa7bd47e1db5675d>
    <External_x0020_Contributor xmlns="4ffa91fb-a0ff-4ac5-b2db-65c790d184a4" xsi:nil="true"/>
    <TaxKeywordTaxHTField xmlns="4ffa91fb-a0ff-4ac5-b2db-65c790d184a4">
      <Terms xmlns="http://schemas.microsoft.com/office/infopath/2007/PartnerControls"/>
    </TaxKeywordTaxHTField>
    <Records_x0020_Date xmlns="ca243fbf-11ff-4731-ae3b-9fc118f3bbf4" xsi:nil="true"/>
    <Record xmlns="4ffa91fb-a0ff-4ac5-b2db-65c790d184a4">Shared</Record>
    <Rights xmlns="4ffa91fb-a0ff-4ac5-b2db-65c790d184a4" xsi:nil="true"/>
    <Records_x0020_Status xmlns="ca243fbf-11ff-4731-ae3b-9fc118f3bbf4">Pending</Records_x0020_Status>
    <Document_x0020_Creation_x0020_Date xmlns="4ffa91fb-a0ff-4ac5-b2db-65c790d184a4">2020-06-12T12:44:56+00:00</Document_x0020_Creation_x0020_Date>
    <EPA_x0020_Office xmlns="4ffa91fb-a0ff-4ac5-b2db-65c790d184a4" xsi:nil="true"/>
    <CategoryDescription xmlns="http://schemas.microsoft.com/sharepoint.v3" xsi:nil="true"/>
    <Identifier xmlns="4ffa91fb-a0ff-4ac5-b2db-65c790d184a4" xsi:nil="true"/>
    <_Coverage xmlns="http://schemas.microsoft.com/sharepoint/v3/fields" xsi:nil="true"/>
    <Creator xmlns="4ffa91fb-a0ff-4ac5-b2db-65c790d184a4">
      <UserInfo>
        <DisplayName/>
        <AccountId xsi:nil="true"/>
        <AccountType/>
      </UserInfo>
    </Creator>
    <EPA_x0020_Related_x0020_Documents xmlns="4ffa91fb-a0ff-4ac5-b2db-65c790d184a4" xsi:nil="true"/>
    <EPA_x0020_Contributor xmlns="4ffa91fb-a0ff-4ac5-b2db-65c790d184a4">
      <UserInfo>
        <DisplayName/>
        <AccountId xsi:nil="true"/>
        <AccountType/>
      </UserInfo>
    </EPA_x0020_Contributor>
    <TaxCatchAll xmlns="4ffa91fb-a0ff-4ac5-b2db-65c790d184a4"/>
  </documentManagement>
</p:properties>
</file>

<file path=customXml/itemProps1.xml><?xml version="1.0" encoding="utf-8"?>
<ds:datastoreItem xmlns:ds="http://schemas.openxmlformats.org/officeDocument/2006/customXml" ds:itemID="{E301F64B-2E68-42FE-B72F-07064BA5C6EE}">
  <ds:schemaRefs>
    <ds:schemaRef ds:uri="http://schemas.microsoft.com/sharepoint/v3/contenttype/forms"/>
  </ds:schemaRefs>
</ds:datastoreItem>
</file>

<file path=customXml/itemProps2.xml><?xml version="1.0" encoding="utf-8"?>
<ds:datastoreItem xmlns:ds="http://schemas.openxmlformats.org/officeDocument/2006/customXml" ds:itemID="{7BB79E98-5AD2-42D4-8617-624CBCC2A96C}">
  <ds:schemaRefs>
    <ds:schemaRef ds:uri="Microsoft.SharePoint.Taxonomy.ContentTypeSync"/>
  </ds:schemaRefs>
</ds:datastoreItem>
</file>

<file path=customXml/itemProps3.xml><?xml version="1.0" encoding="utf-8"?>
<ds:datastoreItem xmlns:ds="http://schemas.openxmlformats.org/officeDocument/2006/customXml" ds:itemID="{E0D265CA-67CD-4AD3-99A3-30810910E78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ffa91fb-a0ff-4ac5-b2db-65c790d184a4"/>
    <ds:schemaRef ds:uri="http://schemas.microsoft.com/sharepoint.v3"/>
    <ds:schemaRef ds:uri="http://schemas.microsoft.com/sharepoint/v3/fields"/>
    <ds:schemaRef ds:uri="ca243fbf-11ff-4731-ae3b-9fc118f3bbf4"/>
    <ds:schemaRef ds:uri="d75150bc-12f9-4c92-a7eb-e71bcd8ee9b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A5D2AB43-1478-4761-B6C2-35F0AE76DC6E}">
  <ds:schemaRefs>
    <ds:schemaRef ds:uri="http://purl.org/dc/elements/1.1/"/>
    <ds:schemaRef ds:uri="http://schemas.microsoft.com/office/2006/metadata/properties"/>
    <ds:schemaRef ds:uri="http://schemas.microsoft.com/office/infopath/2007/PartnerControls"/>
    <ds:schemaRef ds:uri="http://schemas.microsoft.com/sharepoint/v3"/>
    <ds:schemaRef ds:uri="http://schemas.openxmlformats.org/package/2006/metadata/core-properties"/>
    <ds:schemaRef ds:uri="http://purl.org/dc/terms/"/>
    <ds:schemaRef ds:uri="d75150bc-12f9-4c92-a7eb-e71bcd8ee9be"/>
    <ds:schemaRef ds:uri="ca243fbf-11ff-4731-ae3b-9fc118f3bbf4"/>
    <ds:schemaRef ds:uri="http://schemas.microsoft.com/office/2006/documentManagement/types"/>
    <ds:schemaRef ds:uri="http://schemas.microsoft.com/sharepoint/v3/fields"/>
    <ds:schemaRef ds:uri="http://schemas.microsoft.com/sharepoint.v3"/>
    <ds:schemaRef ds:uri="4ffa91fb-a0ff-4ac5-b2db-65c790d184a4"/>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Properties</vt:lpstr>
      <vt:lpstr>Kdata</vt:lpstr>
      <vt:lpstr>columnSpecs</vt:lpstr>
      <vt:lpstr>data</vt:lpstr>
      <vt:lpstr>kf_val</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Burkhardt, Jonathan</dc:creator>
  <cp:lastModifiedBy>Mohammed Faran</cp:lastModifiedBy>
  <dcterms:created xsi:type="dcterms:W3CDTF">2020-06-12T12:40:36Z</dcterms:created>
  <dcterms:modified xsi:type="dcterms:W3CDTF">2026-04-16T14:55:58Z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0x010100AA3E377063FFE5489A04E78E6AF321F7</vt:lpwstr>
  </property>
</Properties>
</file>