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ohammedfaran/Desktop/Research Data/Experimental_Data/"/>
    </mc:Choice>
  </mc:AlternateContent>
  <xr:revisionPtr revIDLastSave="0" documentId="13_ncr:1_{1E52E7FC-D2AF-1043-8C4F-FD5E9B5F0222}" xr6:coauthVersionLast="47" xr6:coauthVersionMax="47" xr10:uidLastSave="{00000000-0000-0000-0000-000000000000}"/>
  <bookViews>
    <workbookView xWindow="4380" yWindow="1660" windowWidth="14180" windowHeight="16000" firstSheet="1" activeTab="5" xr2:uid="{41AAEAE0-1EFE-A54C-B23C-A205F89A8CDE}"/>
  </bookViews>
  <sheets>
    <sheet name="params" sheetId="1" r:id="rId1"/>
    <sheet name="ions" sheetId="2" r:id="rId2"/>
    <sheet name="Cin" sheetId="3" r:id="rId3"/>
    <sheet name="effluent" sheetId="6" r:id="rId4"/>
    <sheet name="PFAS_BrTh" sheetId="4" r:id="rId5"/>
    <sheet name="liquid_phase_film_transfer_dif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A51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3" i="4"/>
</calcChain>
</file>

<file path=xl/sharedStrings.xml><?xml version="1.0" encoding="utf-8"?>
<sst xmlns="http://schemas.openxmlformats.org/spreadsheetml/2006/main" count="244" uniqueCount="81">
  <si>
    <t>name</t>
  </si>
  <si>
    <t>value</t>
  </si>
  <si>
    <t>units</t>
  </si>
  <si>
    <t>Q</t>
  </si>
  <si>
    <t>meq/L</t>
  </si>
  <si>
    <t>EBED</t>
  </si>
  <si>
    <t>EPOR</t>
  </si>
  <si>
    <t>L</t>
  </si>
  <si>
    <t>cm</t>
  </si>
  <si>
    <t>v</t>
  </si>
  <si>
    <t>cm/s</t>
  </si>
  <si>
    <t>rb</t>
  </si>
  <si>
    <t>kL</t>
  </si>
  <si>
    <t>Ds</t>
  </si>
  <si>
    <t>cm2/s</t>
  </si>
  <si>
    <t>Dp</t>
  </si>
  <si>
    <t>nr</t>
  </si>
  <si>
    <t>nz</t>
  </si>
  <si>
    <t>time</t>
  </si>
  <si>
    <t>s</t>
  </si>
  <si>
    <t>mw</t>
  </si>
  <si>
    <t>KxA</t>
  </si>
  <si>
    <t>valence</t>
  </si>
  <si>
    <t>kL_units</t>
  </si>
  <si>
    <t xml:space="preserve">Ds_units </t>
  </si>
  <si>
    <t>Dp_units</t>
  </si>
  <si>
    <t>conc_units</t>
  </si>
  <si>
    <t>CHLORIDE</t>
  </si>
  <si>
    <t>m/s</t>
  </si>
  <si>
    <t>cm^2/s</t>
  </si>
  <si>
    <t>meq</t>
  </si>
  <si>
    <t>SULFATE</t>
  </si>
  <si>
    <t>BICARBONATE</t>
  </si>
  <si>
    <t>NITRATE</t>
  </si>
  <si>
    <t>PFPeA</t>
  </si>
  <si>
    <t>mg</t>
  </si>
  <si>
    <t>PFHxA</t>
  </si>
  <si>
    <t>GenX</t>
  </si>
  <si>
    <t>PFBA</t>
  </si>
  <si>
    <t>PFMOAA</t>
  </si>
  <si>
    <t>PMPA</t>
  </si>
  <si>
    <t>4:2 FTS</t>
  </si>
  <si>
    <t>PFOA</t>
  </si>
  <si>
    <t>PFHpA</t>
  </si>
  <si>
    <t>PFHxS</t>
  </si>
  <si>
    <t>PFOS</t>
  </si>
  <si>
    <t>PFBS</t>
  </si>
  <si>
    <t>PFNA</t>
  </si>
  <si>
    <t>PFDA</t>
  </si>
  <si>
    <t>6:2 FTS</t>
  </si>
  <si>
    <t>8:2 FTS</t>
  </si>
  <si>
    <t>BV-C/Co</t>
  </si>
  <si>
    <t>Type</t>
  </si>
  <si>
    <t>kL (m/s)</t>
  </si>
  <si>
    <t>DL (m2/L)</t>
  </si>
  <si>
    <t>DL (cm^2/s)</t>
  </si>
  <si>
    <t>Vb</t>
  </si>
  <si>
    <t>constants</t>
  </si>
  <si>
    <t>unit</t>
  </si>
  <si>
    <t>dp</t>
  </si>
  <si>
    <t>m</t>
  </si>
  <si>
    <t>Re</t>
  </si>
  <si>
    <t>unitless</t>
  </si>
  <si>
    <t>Sc</t>
  </si>
  <si>
    <t>u</t>
  </si>
  <si>
    <t>cP</t>
  </si>
  <si>
    <t>vf</t>
  </si>
  <si>
    <t>porosity €</t>
  </si>
  <si>
    <t xml:space="preserve">non </t>
  </si>
  <si>
    <t>temp</t>
  </si>
  <si>
    <t>C deg</t>
  </si>
  <si>
    <t>n =</t>
  </si>
  <si>
    <t xml:space="preserve">shape factor = </t>
  </si>
  <si>
    <t>bed porosity</t>
  </si>
  <si>
    <t>density</t>
  </si>
  <si>
    <t>apparent density</t>
  </si>
  <si>
    <t>4:2FTS</t>
  </si>
  <si>
    <t>6:2FTS</t>
  </si>
  <si>
    <t>8:2FTS</t>
  </si>
  <si>
    <t>NFB1</t>
  </si>
  <si>
    <t>NFB2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</si>
</sst>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"/>
    <numFmt numFmtId="165" formatCode="0.0"/>
    <numFmt numFmtId="166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Roboto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0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0" fillId="0" borderId="1" xfId="0" applyBorder="1"/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0" fillId="0" borderId="1" xfId="0" applyNumberFormat="1" applyBorder="1"/>
    <xf numFmtId="0" fontId="2" fillId="0" borderId="1" xfId="0" applyFont="1" applyBorder="1"/>
    <xf numFmtId="11" fontId="11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11" fontId="3" fillId="0" borderId="0" xfId="0" applyNumberFormat="1" applyFont="1"/>
    <xf numFmtId="2" fontId="0" fillId="0" borderId="0" xfId="0" applyNumberFormat="1"/>
    <xf numFmtId="165" fontId="3" fillId="0" borderId="0" xfId="0" applyNumberFormat="1" applyFont="1"/>
    <xf numFmtId="164" fontId="0" fillId="0" borderId="0" xfId="0" applyNumberFormat="1"/>
    <xf numFmtId="0" fontId="3" fillId="0" borderId="2" xfId="0" applyFont="1" applyBorder="1"/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0" fontId="3" fillId="0" borderId="2" xfId="1" applyNumberFormat="1" applyFont="1" applyBorder="1"/>
    <xf numFmtId="165" fontId="3" fillId="0" borderId="2" xfId="0" applyNumberFormat="1" applyFont="1" applyBorder="1"/>
    <xf numFmtId="164" fontId="15" fillId="0" borderId="2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 vertical="center"/>
    </xf>
    <xf numFmtId="11" fontId="1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11" fontId="0" fillId="0" borderId="2" xfId="0" applyNumberForma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0" fillId="0" borderId="3" xfId="0" applyBorder="1"/>
    <xf numFmtId="0" fontId="3" fillId="0" borderId="4" xfId="0" applyFont="1" applyBorder="1"/>
    <xf numFmtId="0" fontId="3" fillId="0" borderId="3" xfId="0" applyFont="1" applyBorder="1"/>
    <xf numFmtId="0" fontId="12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1" fontId="16" fillId="0" borderId="0" xfId="0" applyNumberFormat="1" applyFont="1" applyAlignment="1">
      <alignment horizontal="center" vertical="center"/>
    </xf>
    <xf numFmtId="11" fontId="16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804881</xdr:colOff>
      <xdr:row>0</xdr:row>
      <xdr:rowOff>0</xdr:rowOff>
    </xdr:from>
    <xdr:to>
      <xdr:col>19</xdr:col>
      <xdr:colOff>423333</xdr:colOff>
      <xdr:row>22</xdr:row>
      <xdr:rowOff>110085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DFC45-71C3-8210-EFB5-1437EAEB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881" y="0"/>
          <a:ext cx="5426586" cy="45804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591214</xdr:colOff>
      <xdr:row>22</xdr:row>
      <xdr:rowOff>53879</xdr:rowOff>
    </xdr:from>
    <xdr:to>
      <xdr:col>19</xdr:col>
      <xdr:colOff>728134</xdr:colOff>
      <xdr:row>25</xdr:row>
      <xdr:rowOff>125710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C727F0-8F76-2D5D-60E0-ED392369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5214" y="4727479"/>
          <a:ext cx="5945054" cy="681431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25</xdr:row>
      <xdr:rowOff>186266</xdr:rowOff>
    </xdr:from>
    <xdr:to>
      <xdr:col>19</xdr:col>
      <xdr:colOff>575732</xdr:colOff>
      <xdr:row>52</xdr:row>
      <xdr:rowOff>4177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C31E5-0F7A-FF71-F3DE-483CCA2E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5469466"/>
          <a:ext cx="5571066" cy="530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577-7AEF-2948-8111-64FF5E2C5C5D}">
  <dimension ref="A1:J19"/>
  <sheetViews>
    <sheetView zoomScale="91" workbookViewId="0">
      <selection activeCell="B7" sqref="B7"/>
    </sheetView>
  </sheetViews>
  <sheetFormatPr baseColWidth="10" defaultColWidth="11" defaultRowHeight="16" x14ac:dyDescent="0.2"/>
  <cols>
    <col min="1" max="1" width="11.5" bestFit="1" customWidth="1"/>
    <col min="2" max="2" width="6.6640625" bestFit="1" customWidth="1"/>
    <col min="3" max="3" width="10.6640625" bestFit="1" customWidth="1"/>
    <col min="4" max="4" width="40" bestFit="1" customWidth="1"/>
  </cols>
  <sheetData>
    <row r="1" spans="1:10" x14ac:dyDescent="0.2">
      <c r="A1" s="31" t="s">
        <v>0</v>
      </c>
      <c r="B1" s="31" t="s">
        <v>1</v>
      </c>
      <c r="C1" s="31" t="s">
        <v>2</v>
      </c>
      <c r="D1" s="1"/>
      <c r="E1" s="1"/>
      <c r="F1" s="1"/>
      <c r="G1" s="1"/>
      <c r="H1" s="1"/>
      <c r="I1" s="1"/>
      <c r="J1" s="1"/>
    </row>
    <row r="2" spans="1:10" x14ac:dyDescent="0.2">
      <c r="A2" s="31" t="s">
        <v>3</v>
      </c>
      <c r="B2" s="48">
        <v>730</v>
      </c>
      <c r="C2" s="31" t="s">
        <v>4</v>
      </c>
      <c r="D2" s="1"/>
      <c r="E2" s="1"/>
    </row>
    <row r="3" spans="1:10" x14ac:dyDescent="0.2">
      <c r="A3" s="31" t="s">
        <v>5</v>
      </c>
      <c r="B3" s="48">
        <v>0.38100000000000001</v>
      </c>
      <c r="C3" s="31" t="e">
        <v>#N/A</v>
      </c>
      <c r="D3" s="1"/>
      <c r="E3" s="1"/>
    </row>
    <row r="4" spans="1:10" x14ac:dyDescent="0.2">
      <c r="A4" s="31" t="s">
        <v>6</v>
      </c>
      <c r="B4" s="48">
        <v>0.2</v>
      </c>
      <c r="C4" s="31" t="e">
        <v>#N/A</v>
      </c>
      <c r="D4" s="1"/>
      <c r="E4" s="1"/>
    </row>
    <row r="5" spans="1:10" x14ac:dyDescent="0.2">
      <c r="A5" s="31" t="s">
        <v>7</v>
      </c>
      <c r="B5" s="48">
        <v>1.5</v>
      </c>
      <c r="C5" s="31" t="s">
        <v>8</v>
      </c>
      <c r="D5" s="1"/>
      <c r="E5" s="1"/>
    </row>
    <row r="6" spans="1:10" x14ac:dyDescent="0.2">
      <c r="A6" s="31" t="s">
        <v>9</v>
      </c>
      <c r="B6" s="48">
        <v>1.212920864</v>
      </c>
      <c r="C6" s="31" t="s">
        <v>10</v>
      </c>
      <c r="D6" s="1"/>
      <c r="E6" s="1"/>
    </row>
    <row r="7" spans="1:10" x14ac:dyDescent="0.2">
      <c r="A7" s="31" t="s">
        <v>11</v>
      </c>
      <c r="B7" s="48">
        <v>7.0000000000000001E-3</v>
      </c>
      <c r="C7" s="31" t="s">
        <v>8</v>
      </c>
      <c r="D7" s="1"/>
      <c r="E7" s="1"/>
    </row>
    <row r="8" spans="1:10" x14ac:dyDescent="0.2">
      <c r="A8" s="31" t="s">
        <v>12</v>
      </c>
      <c r="B8" s="47">
        <v>1.8900000000000001E-4</v>
      </c>
      <c r="C8" s="31" t="s">
        <v>10</v>
      </c>
      <c r="D8" s="1"/>
      <c r="E8" s="1"/>
    </row>
    <row r="9" spans="1:10" x14ac:dyDescent="0.2">
      <c r="A9" s="31" t="s">
        <v>13</v>
      </c>
      <c r="B9" s="48">
        <v>2.8300000000000001E-13</v>
      </c>
      <c r="C9" s="31" t="s">
        <v>14</v>
      </c>
      <c r="D9" s="1"/>
      <c r="E9" s="1"/>
    </row>
    <row r="10" spans="1:10" x14ac:dyDescent="0.2">
      <c r="A10" s="31" t="s">
        <v>15</v>
      </c>
      <c r="B10" s="48">
        <v>0</v>
      </c>
      <c r="C10" s="31" t="s">
        <v>14</v>
      </c>
      <c r="D10" s="1"/>
      <c r="E10" s="1"/>
    </row>
    <row r="11" spans="1:10" x14ac:dyDescent="0.2">
      <c r="A11" s="31" t="s">
        <v>16</v>
      </c>
      <c r="B11" s="48">
        <v>7</v>
      </c>
      <c r="C11" s="31" t="e">
        <v>#N/A</v>
      </c>
      <c r="D11" s="1"/>
      <c r="E11" s="1"/>
    </row>
    <row r="12" spans="1:10" x14ac:dyDescent="0.2">
      <c r="A12" s="31" t="s">
        <v>17</v>
      </c>
      <c r="B12" s="48">
        <v>13</v>
      </c>
      <c r="C12" s="31" t="e">
        <v>#N/A</v>
      </c>
      <c r="D12" s="1"/>
      <c r="E12" s="1"/>
    </row>
    <row r="13" spans="1:10" x14ac:dyDescent="0.2">
      <c r="A13" s="31" t="s">
        <v>18</v>
      </c>
      <c r="B13" s="31">
        <v>309171.03580000001</v>
      </c>
      <c r="C13" s="31" t="s">
        <v>19</v>
      </c>
      <c r="E13" s="1"/>
    </row>
    <row r="14" spans="1:10" x14ac:dyDescent="0.2">
      <c r="E14" s="1"/>
      <c r="F14" s="1"/>
      <c r="G14" s="1"/>
      <c r="H14" s="1"/>
      <c r="I14" s="1"/>
    </row>
    <row r="15" spans="1:10" x14ac:dyDescent="0.2">
      <c r="D15" s="1"/>
      <c r="E15" s="1"/>
      <c r="F15" s="1"/>
      <c r="G15" s="1"/>
      <c r="H15" s="1"/>
      <c r="I15" s="1"/>
    </row>
    <row r="16" spans="1:10" x14ac:dyDescent="0.2">
      <c r="D16" s="1"/>
      <c r="E16" s="1"/>
      <c r="F16" s="1"/>
      <c r="G16" s="1"/>
      <c r="H16" s="1"/>
      <c r="I16" s="1"/>
    </row>
    <row r="17" spans="4:9" x14ac:dyDescent="0.2">
      <c r="D17" s="1"/>
      <c r="E17" s="1"/>
      <c r="F17" s="1"/>
      <c r="G17" s="1"/>
      <c r="H17" s="1"/>
      <c r="I17" s="1"/>
    </row>
    <row r="18" spans="4:9" x14ac:dyDescent="0.2">
      <c r="D18" s="1"/>
      <c r="E18" s="1"/>
      <c r="F18" s="1"/>
      <c r="G18" s="1"/>
      <c r="H18" s="1"/>
      <c r="I18" s="1"/>
    </row>
    <row r="19" spans="4:9" x14ac:dyDescent="0.2"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5E3C-2437-3A41-A129-5DBBB66F01C4}">
  <dimension ref="A1:T39"/>
  <sheetViews>
    <sheetView zoomScale="132" zoomScaleNormal="82" workbookViewId="0">
      <selection activeCell="F5" sqref="F5"/>
    </sheetView>
  </sheetViews>
  <sheetFormatPr baseColWidth="10" defaultColWidth="11" defaultRowHeight="16" x14ac:dyDescent="0.2"/>
  <cols>
    <col min="1" max="1" width="13" bestFit="1" customWidth="1"/>
    <col min="2" max="2" width="20.1640625" customWidth="1"/>
    <col min="3" max="3" width="15.1640625" bestFit="1" customWidth="1"/>
    <col min="4" max="4" width="20" bestFit="1" customWidth="1"/>
    <col min="6" max="6" width="12.1640625" bestFit="1" customWidth="1"/>
    <col min="7" max="7" width="8.6640625" bestFit="1" customWidth="1"/>
    <col min="9" max="9" width="8.6640625" bestFit="1" customWidth="1"/>
    <col min="14" max="14" width="21" bestFit="1" customWidth="1"/>
    <col min="15" max="15" width="6.5" bestFit="1" customWidth="1"/>
    <col min="16" max="16" width="8.5" bestFit="1" customWidth="1"/>
    <col min="18" max="18" width="10.6640625" bestFit="1" customWidth="1"/>
  </cols>
  <sheetData>
    <row r="1" spans="1:20" x14ac:dyDescent="0.2">
      <c r="A1" s="26" t="s">
        <v>0</v>
      </c>
      <c r="B1" s="26" t="s">
        <v>20</v>
      </c>
      <c r="C1" s="26" t="s">
        <v>21</v>
      </c>
      <c r="D1" s="26" t="s">
        <v>22</v>
      </c>
      <c r="E1" s="26" t="s">
        <v>12</v>
      </c>
      <c r="F1" s="26" t="s">
        <v>23</v>
      </c>
      <c r="G1" s="26" t="s">
        <v>13</v>
      </c>
      <c r="H1" s="26" t="s">
        <v>24</v>
      </c>
      <c r="I1" s="26" t="s">
        <v>15</v>
      </c>
      <c r="J1" s="26" t="s">
        <v>25</v>
      </c>
      <c r="K1" s="26" t="s">
        <v>26</v>
      </c>
    </row>
    <row r="2" spans="1:20" x14ac:dyDescent="0.2">
      <c r="A2" s="33" t="s">
        <v>27</v>
      </c>
      <c r="B2" s="52">
        <v>35.450000000000003</v>
      </c>
      <c r="C2" s="52">
        <v>1</v>
      </c>
      <c r="D2" s="52">
        <v>1</v>
      </c>
      <c r="E2" s="36">
        <v>7.1033855308415078E-2</v>
      </c>
      <c r="F2" s="52" t="s">
        <v>28</v>
      </c>
      <c r="G2" s="52">
        <v>1</v>
      </c>
      <c r="H2" s="52" t="s">
        <v>29</v>
      </c>
      <c r="I2" s="52">
        <v>0</v>
      </c>
      <c r="J2" s="52" t="s">
        <v>29</v>
      </c>
      <c r="K2" s="52" t="s">
        <v>30</v>
      </c>
      <c r="N2" s="9"/>
      <c r="O2" s="9"/>
      <c r="P2" s="9"/>
      <c r="Q2" s="9"/>
      <c r="R2" s="9"/>
      <c r="S2" s="9"/>
      <c r="T2" s="9"/>
    </row>
    <row r="3" spans="1:20" x14ac:dyDescent="0.2">
      <c r="A3" s="33" t="s">
        <v>31</v>
      </c>
      <c r="B3" s="52">
        <v>96.06</v>
      </c>
      <c r="C3" s="52">
        <v>2.7E-2</v>
      </c>
      <c r="D3" s="52">
        <v>2</v>
      </c>
      <c r="E3" s="36">
        <v>7.916175021784172E-2</v>
      </c>
      <c r="F3" s="52" t="s">
        <v>28</v>
      </c>
      <c r="G3" s="52">
        <v>0</v>
      </c>
      <c r="H3" s="52" t="s">
        <v>29</v>
      </c>
      <c r="I3" s="52">
        <v>0</v>
      </c>
      <c r="J3" s="52" t="s">
        <v>29</v>
      </c>
      <c r="K3" s="52" t="s">
        <v>30</v>
      </c>
      <c r="N3" s="1"/>
      <c r="O3" s="1"/>
      <c r="P3" s="1"/>
      <c r="Q3" s="1"/>
      <c r="R3" s="1"/>
      <c r="S3" s="1"/>
      <c r="T3" s="1"/>
    </row>
    <row r="4" spans="1:20" x14ac:dyDescent="0.2">
      <c r="A4" s="33" t="s">
        <v>32</v>
      </c>
      <c r="B4" s="52">
        <v>61.02</v>
      </c>
      <c r="C4" s="52">
        <v>0.32</v>
      </c>
      <c r="D4" s="52">
        <v>1</v>
      </c>
      <c r="E4" s="36">
        <v>5.0454639132858581E-2</v>
      </c>
      <c r="F4" s="52" t="s">
        <v>28</v>
      </c>
      <c r="G4" s="52">
        <v>0</v>
      </c>
      <c r="H4" s="52" t="s">
        <v>29</v>
      </c>
      <c r="I4" s="52">
        <v>0</v>
      </c>
      <c r="J4" s="52" t="s">
        <v>29</v>
      </c>
      <c r="K4" s="52" t="s">
        <v>30</v>
      </c>
      <c r="N4" s="1"/>
      <c r="O4" s="1"/>
      <c r="P4" s="1"/>
      <c r="Q4" s="1"/>
      <c r="R4" s="1"/>
      <c r="S4" s="1"/>
      <c r="T4" s="1"/>
    </row>
    <row r="5" spans="1:20" x14ac:dyDescent="0.2">
      <c r="A5" s="33" t="s">
        <v>33</v>
      </c>
      <c r="B5" s="52">
        <v>62.01</v>
      </c>
      <c r="C5" s="52">
        <v>13</v>
      </c>
      <c r="D5" s="52">
        <v>1</v>
      </c>
      <c r="E5" s="36">
        <v>5.1652033094747189E-2</v>
      </c>
      <c r="F5" s="52" t="s">
        <v>28</v>
      </c>
      <c r="G5" s="52">
        <v>0</v>
      </c>
      <c r="H5" s="52" t="s">
        <v>29</v>
      </c>
      <c r="I5" s="52">
        <v>0</v>
      </c>
      <c r="J5" s="52" t="s">
        <v>29</v>
      </c>
      <c r="K5" s="52" t="s">
        <v>30</v>
      </c>
      <c r="N5" s="1"/>
      <c r="O5" s="1"/>
      <c r="P5" s="1"/>
      <c r="Q5" s="1"/>
      <c r="R5" s="1"/>
      <c r="S5" s="1"/>
      <c r="T5" s="1"/>
    </row>
    <row r="6" spans="1:20" x14ac:dyDescent="0.2">
      <c r="A6" s="51" t="s">
        <v>34</v>
      </c>
      <c r="B6" s="52">
        <v>264.04700000000003</v>
      </c>
      <c r="C6" s="53">
        <v>81.2</v>
      </c>
      <c r="D6" s="52">
        <v>1</v>
      </c>
      <c r="E6" s="36">
        <v>2.0394609191157882E-2</v>
      </c>
      <c r="F6" s="52" t="s">
        <v>10</v>
      </c>
      <c r="G6" s="54">
        <v>1.35E-7</v>
      </c>
      <c r="H6" s="52" t="s">
        <v>29</v>
      </c>
      <c r="I6" s="52">
        <v>0</v>
      </c>
      <c r="J6" s="52" t="s">
        <v>29</v>
      </c>
      <c r="K6" s="52" t="s">
        <v>35</v>
      </c>
      <c r="N6" s="1"/>
      <c r="O6" s="1"/>
      <c r="P6" s="1"/>
      <c r="Q6" s="1"/>
      <c r="R6" s="1"/>
      <c r="S6" s="1"/>
      <c r="T6" s="1"/>
    </row>
    <row r="7" spans="1:20" x14ac:dyDescent="0.2">
      <c r="A7" s="46" t="s">
        <v>36</v>
      </c>
      <c r="B7" s="52">
        <v>313.04700000000003</v>
      </c>
      <c r="C7" s="53">
        <v>172</v>
      </c>
      <c r="D7" s="52">
        <v>1</v>
      </c>
      <c r="E7" s="36">
        <v>1.8554049475036211E-2</v>
      </c>
      <c r="F7" s="52" t="s">
        <v>10</v>
      </c>
      <c r="G7" s="55">
        <v>6.59E-10</v>
      </c>
      <c r="H7" s="52" t="s">
        <v>29</v>
      </c>
      <c r="I7" s="52">
        <v>0</v>
      </c>
      <c r="J7" s="52" t="s">
        <v>29</v>
      </c>
      <c r="K7" s="52" t="s">
        <v>35</v>
      </c>
      <c r="N7" s="1"/>
      <c r="O7" s="1"/>
      <c r="P7" s="1"/>
      <c r="Q7" s="1"/>
      <c r="R7" s="1"/>
      <c r="S7" s="1"/>
      <c r="T7" s="1"/>
    </row>
    <row r="8" spans="1:20" x14ac:dyDescent="0.2">
      <c r="A8" s="46" t="s">
        <v>37</v>
      </c>
      <c r="B8" s="56">
        <v>330.05</v>
      </c>
      <c r="C8" s="53">
        <v>172</v>
      </c>
      <c r="D8" s="52">
        <v>1</v>
      </c>
      <c r="E8" s="36">
        <v>1.8168819206465719E-2</v>
      </c>
      <c r="F8" s="52" t="s">
        <v>10</v>
      </c>
      <c r="G8" s="55">
        <v>8.5299999999999995E-10</v>
      </c>
      <c r="H8" s="52" t="s">
        <v>29</v>
      </c>
      <c r="I8" s="52">
        <v>0</v>
      </c>
      <c r="J8" s="52" t="s">
        <v>29</v>
      </c>
      <c r="K8" s="52" t="s">
        <v>35</v>
      </c>
      <c r="N8" s="1"/>
      <c r="O8" s="1"/>
      <c r="P8" s="1"/>
      <c r="Q8" s="1"/>
      <c r="R8" s="1"/>
      <c r="S8" s="1"/>
      <c r="T8" s="1"/>
    </row>
    <row r="9" spans="1:20" x14ac:dyDescent="0.2">
      <c r="A9" s="46" t="s">
        <v>38</v>
      </c>
      <c r="B9" s="52">
        <v>214.03899999999999</v>
      </c>
      <c r="C9" s="53">
        <v>39.6</v>
      </c>
      <c r="D9" s="52">
        <v>1</v>
      </c>
      <c r="E9" s="36">
        <v>2.282832704392946E-2</v>
      </c>
      <c r="F9" s="52" t="s">
        <v>10</v>
      </c>
      <c r="G9" s="55">
        <v>1.2199999999999999E-9</v>
      </c>
      <c r="H9" s="52" t="s">
        <v>29</v>
      </c>
      <c r="I9" s="52">
        <v>0</v>
      </c>
      <c r="J9" s="52" t="s">
        <v>29</v>
      </c>
      <c r="K9" s="52" t="s">
        <v>35</v>
      </c>
      <c r="N9" s="1"/>
      <c r="O9" s="1"/>
      <c r="P9" s="1"/>
      <c r="Q9" s="1"/>
      <c r="R9" s="1"/>
      <c r="S9" s="1"/>
      <c r="T9" s="1"/>
    </row>
    <row r="10" spans="1:20" x14ac:dyDescent="0.2">
      <c r="A10" s="46" t="s">
        <v>39</v>
      </c>
      <c r="B10" s="52">
        <v>180.03</v>
      </c>
      <c r="C10" s="53">
        <v>25.1</v>
      </c>
      <c r="D10" s="52">
        <v>1</v>
      </c>
      <c r="E10" s="36">
        <v>2.5510302190007245E-2</v>
      </c>
      <c r="F10" s="52" t="s">
        <v>10</v>
      </c>
      <c r="G10" s="57">
        <v>6.6699999999999997E-10</v>
      </c>
      <c r="H10" s="52" t="s">
        <v>29</v>
      </c>
      <c r="I10" s="52">
        <v>0</v>
      </c>
      <c r="J10" s="52" t="s">
        <v>29</v>
      </c>
      <c r="K10" s="52" t="s">
        <v>35</v>
      </c>
      <c r="N10" s="1"/>
      <c r="O10" s="1"/>
      <c r="P10" s="1"/>
      <c r="Q10" s="1"/>
      <c r="R10" s="1"/>
      <c r="S10" s="1"/>
      <c r="T10" s="1"/>
    </row>
    <row r="11" spans="1:20" x14ac:dyDescent="0.2">
      <c r="A11" s="46" t="s">
        <v>40</v>
      </c>
      <c r="B11" s="58">
        <v>230.03800000000001</v>
      </c>
      <c r="C11" s="53">
        <v>55</v>
      </c>
      <c r="D11" s="52">
        <v>1</v>
      </c>
      <c r="E11" s="36">
        <v>2.2220612793299517E-2</v>
      </c>
      <c r="F11" s="52" t="s">
        <v>10</v>
      </c>
      <c r="G11" s="55">
        <v>2.1200000000000001E-9</v>
      </c>
      <c r="H11" s="52" t="s">
        <v>29</v>
      </c>
      <c r="I11" s="52">
        <v>0</v>
      </c>
      <c r="J11" s="52" t="s">
        <v>29</v>
      </c>
      <c r="K11" s="52" t="s">
        <v>35</v>
      </c>
      <c r="N11" s="1"/>
      <c r="O11" s="1"/>
      <c r="P11" s="1"/>
      <c r="Q11" s="1"/>
      <c r="R11" s="1"/>
      <c r="S11" s="1"/>
      <c r="T11" s="1"/>
    </row>
    <row r="12" spans="1:20" x14ac:dyDescent="0.2">
      <c r="A12" s="46" t="s">
        <v>41</v>
      </c>
      <c r="B12" s="58">
        <v>327.14</v>
      </c>
      <c r="C12" s="53">
        <v>109</v>
      </c>
      <c r="D12" s="52">
        <v>1</v>
      </c>
      <c r="E12" s="36">
        <v>1.7815186442197203E-2</v>
      </c>
      <c r="F12" s="52" t="s">
        <v>10</v>
      </c>
      <c r="G12" s="57">
        <v>1.14E-9</v>
      </c>
      <c r="H12" s="52" t="s">
        <v>29</v>
      </c>
      <c r="I12" s="52">
        <v>0</v>
      </c>
      <c r="J12" s="52" t="s">
        <v>29</v>
      </c>
      <c r="K12" s="52" t="s">
        <v>35</v>
      </c>
      <c r="N12" s="1"/>
      <c r="O12" s="1"/>
      <c r="P12" s="1"/>
      <c r="Q12" s="1"/>
      <c r="R12" s="1"/>
      <c r="S12" s="1"/>
      <c r="T12" s="1"/>
    </row>
    <row r="13" spans="1:20" x14ac:dyDescent="0.2">
      <c r="A13" s="50" t="s">
        <v>42</v>
      </c>
      <c r="B13" s="52">
        <v>414.07</v>
      </c>
      <c r="C13" s="59">
        <v>395</v>
      </c>
      <c r="D13" s="52">
        <v>1</v>
      </c>
      <c r="E13" s="19">
        <v>1.5881590072717309E-2</v>
      </c>
      <c r="F13" s="52" t="s">
        <v>10</v>
      </c>
      <c r="G13" s="54">
        <v>2.3789999999999997E-10</v>
      </c>
      <c r="H13" s="52" t="s">
        <v>29</v>
      </c>
      <c r="I13" s="52">
        <v>0</v>
      </c>
      <c r="J13" s="52" t="s">
        <v>29</v>
      </c>
      <c r="K13" s="52" t="s">
        <v>35</v>
      </c>
      <c r="N13" s="1"/>
      <c r="O13" s="1"/>
      <c r="P13" s="1"/>
      <c r="Q13" s="1"/>
      <c r="R13" s="1"/>
      <c r="S13" s="1"/>
      <c r="T13" s="1"/>
    </row>
    <row r="14" spans="1:20" x14ac:dyDescent="0.2">
      <c r="A14" s="33" t="s">
        <v>43</v>
      </c>
      <c r="B14" s="52">
        <v>364.06200000000001</v>
      </c>
      <c r="C14" s="52">
        <v>558</v>
      </c>
      <c r="D14" s="52">
        <v>1</v>
      </c>
      <c r="E14" s="52">
        <v>1.7054288019698483E-2</v>
      </c>
      <c r="F14" s="52" t="s">
        <v>10</v>
      </c>
      <c r="G14" s="57">
        <v>1.14E-9</v>
      </c>
      <c r="H14" s="52" t="s">
        <v>29</v>
      </c>
      <c r="I14" s="52">
        <v>0</v>
      </c>
      <c r="J14" s="52" t="s">
        <v>29</v>
      </c>
      <c r="K14" s="52" t="s">
        <v>35</v>
      </c>
      <c r="N14" s="1"/>
      <c r="O14" s="1"/>
      <c r="P14" s="1"/>
      <c r="Q14" s="1"/>
      <c r="R14" s="1"/>
      <c r="S14" s="1"/>
      <c r="T14" s="1"/>
    </row>
    <row r="15" spans="1:20" x14ac:dyDescent="0.2">
      <c r="A15" s="33" t="s">
        <v>44</v>
      </c>
      <c r="B15" s="60">
        <v>400.11</v>
      </c>
      <c r="C15" s="52">
        <v>1</v>
      </c>
      <c r="D15" s="52">
        <v>1</v>
      </c>
      <c r="E15" s="52">
        <v>1.6728075294519282E-2</v>
      </c>
      <c r="F15" s="52" t="s">
        <v>10</v>
      </c>
      <c r="G15" s="57">
        <v>1.14E-9</v>
      </c>
      <c r="H15" s="52" t="s">
        <v>29</v>
      </c>
      <c r="I15" s="52">
        <v>0</v>
      </c>
      <c r="J15" s="52" t="s">
        <v>29</v>
      </c>
      <c r="K15" s="52" t="s">
        <v>35</v>
      </c>
      <c r="N15" s="1"/>
      <c r="O15" s="1"/>
      <c r="P15" s="1"/>
      <c r="Q15" s="1"/>
      <c r="R15" s="1"/>
      <c r="S15" s="1"/>
      <c r="T15" s="1"/>
    </row>
    <row r="16" spans="1:20" x14ac:dyDescent="0.2">
      <c r="A16" s="33" t="s">
        <v>45</v>
      </c>
      <c r="B16" s="61">
        <v>500.13</v>
      </c>
      <c r="C16" s="52">
        <v>1</v>
      </c>
      <c r="D16" s="52">
        <v>1</v>
      </c>
      <c r="E16" s="52">
        <v>1.4643998420678128E-2</v>
      </c>
      <c r="F16" s="52" t="s">
        <v>10</v>
      </c>
      <c r="G16" s="57">
        <v>1.14E-9</v>
      </c>
      <c r="H16" s="52" t="s">
        <v>29</v>
      </c>
      <c r="I16" s="52">
        <v>0</v>
      </c>
      <c r="J16" s="52" t="s">
        <v>29</v>
      </c>
      <c r="K16" s="52" t="s">
        <v>35</v>
      </c>
      <c r="N16" s="1"/>
      <c r="O16" s="1"/>
      <c r="P16" s="1"/>
      <c r="Q16" s="1"/>
      <c r="R16" s="1"/>
      <c r="S16" s="1"/>
      <c r="T16" s="1"/>
    </row>
    <row r="17" spans="1:20" x14ac:dyDescent="0.2">
      <c r="A17" s="33" t="s">
        <v>46</v>
      </c>
      <c r="B17" s="52">
        <v>300.08999999999997</v>
      </c>
      <c r="C17" s="52">
        <v>1</v>
      </c>
      <c r="D17" s="52">
        <v>1</v>
      </c>
      <c r="E17" s="52">
        <v>1.9870848595142855E-2</v>
      </c>
      <c r="F17" s="52" t="s">
        <v>10</v>
      </c>
      <c r="G17" s="57">
        <v>1.14E-9</v>
      </c>
      <c r="H17" s="52" t="s">
        <v>29</v>
      </c>
      <c r="I17" s="52">
        <v>0</v>
      </c>
      <c r="J17" s="52" t="s">
        <v>29</v>
      </c>
      <c r="K17" s="52" t="s">
        <v>35</v>
      </c>
      <c r="N17" s="1"/>
      <c r="O17" s="1"/>
      <c r="P17" s="1"/>
      <c r="Q17" s="1"/>
      <c r="R17" s="1"/>
      <c r="S17" s="1"/>
      <c r="T17" s="1"/>
    </row>
    <row r="18" spans="1:20" x14ac:dyDescent="0.2">
      <c r="A18" s="33" t="s">
        <v>47</v>
      </c>
      <c r="B18" s="61">
        <v>463.07</v>
      </c>
      <c r="C18" s="52">
        <v>1</v>
      </c>
      <c r="D18" s="52">
        <v>1</v>
      </c>
      <c r="E18" s="52">
        <v>1.4870615280996525E-2</v>
      </c>
      <c r="F18" s="52" t="s">
        <v>10</v>
      </c>
      <c r="G18" s="57">
        <v>1.14E-9</v>
      </c>
      <c r="H18" s="52" t="s">
        <v>29</v>
      </c>
      <c r="I18" s="52">
        <v>0</v>
      </c>
      <c r="J18" s="52" t="s">
        <v>29</v>
      </c>
      <c r="K18" s="52" t="s">
        <v>35</v>
      </c>
      <c r="N18" s="1"/>
      <c r="O18" s="1"/>
      <c r="P18" s="1"/>
      <c r="Q18" s="1"/>
      <c r="R18" s="1"/>
      <c r="S18" s="1"/>
      <c r="T18" s="1"/>
    </row>
    <row r="19" spans="1:20" x14ac:dyDescent="0.2">
      <c r="A19" s="33" t="s">
        <v>48</v>
      </c>
      <c r="B19" s="52">
        <v>513.07799999999997</v>
      </c>
      <c r="C19" s="52">
        <v>1</v>
      </c>
      <c r="D19" s="52">
        <v>1</v>
      </c>
      <c r="E19" s="52">
        <v>1.4044628575987258E-2</v>
      </c>
      <c r="F19" s="52" t="s">
        <v>10</v>
      </c>
      <c r="G19" s="57">
        <v>1.14E-9</v>
      </c>
      <c r="H19" s="52" t="s">
        <v>29</v>
      </c>
      <c r="I19" s="52">
        <v>0</v>
      </c>
      <c r="J19" s="52" t="s">
        <v>29</v>
      </c>
      <c r="K19" s="52" t="s">
        <v>35</v>
      </c>
      <c r="N19" s="1"/>
      <c r="O19" s="1"/>
      <c r="P19" s="1"/>
      <c r="Q19" s="1"/>
      <c r="R19" s="1"/>
      <c r="S19" s="1"/>
      <c r="T19" s="1"/>
    </row>
    <row r="20" spans="1:20" x14ac:dyDescent="0.2">
      <c r="A20" s="33" t="s">
        <v>49</v>
      </c>
      <c r="B20" s="52">
        <v>428.16</v>
      </c>
      <c r="C20" s="52">
        <v>549</v>
      </c>
      <c r="D20" s="52">
        <v>1</v>
      </c>
      <c r="E20" s="52">
        <v>1.5389839575275528E-2</v>
      </c>
      <c r="F20" s="52" t="s">
        <v>10</v>
      </c>
      <c r="G20" s="57">
        <v>1.14E-9</v>
      </c>
      <c r="H20" s="52" t="s">
        <v>29</v>
      </c>
      <c r="I20" s="52">
        <v>0</v>
      </c>
      <c r="J20" s="52" t="s">
        <v>29</v>
      </c>
      <c r="K20" s="52" t="s">
        <v>35</v>
      </c>
      <c r="N20" s="1"/>
      <c r="O20" s="1"/>
      <c r="P20" s="1"/>
      <c r="Q20" s="1"/>
      <c r="R20" s="1"/>
      <c r="S20" s="1"/>
      <c r="T20" s="1"/>
    </row>
    <row r="21" spans="1:20" x14ac:dyDescent="0.2">
      <c r="A21" s="33" t="s">
        <v>50</v>
      </c>
      <c r="B21" s="61">
        <v>528.17999999999995</v>
      </c>
      <c r="C21" s="49">
        <v>1</v>
      </c>
      <c r="D21" s="38">
        <v>1</v>
      </c>
      <c r="E21" s="19">
        <v>1.3688887441612715E-2</v>
      </c>
      <c r="F21" s="52" t="s">
        <v>10</v>
      </c>
      <c r="G21" s="57">
        <v>1.14E-9</v>
      </c>
      <c r="H21" s="52" t="s">
        <v>29</v>
      </c>
      <c r="I21" s="52">
        <v>0</v>
      </c>
      <c r="J21" s="52" t="s">
        <v>29</v>
      </c>
      <c r="K21" s="52" t="s">
        <v>35</v>
      </c>
      <c r="N21" s="1"/>
      <c r="O21" s="1"/>
      <c r="P21" s="1"/>
      <c r="Q21" s="1"/>
      <c r="R21" s="1"/>
      <c r="S21" s="1"/>
      <c r="T21" s="1"/>
    </row>
    <row r="22" spans="1:20" x14ac:dyDescent="0.2">
      <c r="B22" s="6"/>
      <c r="C22" s="7"/>
      <c r="D22" s="7"/>
      <c r="I22" s="20"/>
      <c r="N22" s="1"/>
      <c r="O22" s="1"/>
      <c r="P22" s="1"/>
      <c r="Q22" s="1"/>
      <c r="R22" s="1"/>
      <c r="S22" s="1"/>
      <c r="T22" s="1"/>
    </row>
    <row r="23" spans="1:20" x14ac:dyDescent="0.2">
      <c r="B23" s="6"/>
      <c r="C23" s="7"/>
      <c r="D23" s="7"/>
      <c r="I23" s="20"/>
      <c r="N23" s="1"/>
      <c r="O23" s="1"/>
      <c r="P23" s="1"/>
      <c r="Q23" s="1"/>
      <c r="R23" s="1"/>
      <c r="S23" s="1"/>
      <c r="T23" s="1"/>
    </row>
    <row r="24" spans="1:20" x14ac:dyDescent="0.2">
      <c r="B24" s="6"/>
      <c r="C24" s="7"/>
      <c r="D24" s="7"/>
      <c r="I24" s="20"/>
      <c r="N24" s="1"/>
      <c r="O24" s="1"/>
      <c r="P24" s="1"/>
      <c r="Q24" s="1"/>
      <c r="R24" s="1"/>
      <c r="S24" s="1"/>
      <c r="T24" s="1"/>
    </row>
    <row r="25" spans="1:20" x14ac:dyDescent="0.2">
      <c r="B25" s="6"/>
      <c r="C25" s="7"/>
      <c r="D25" s="7"/>
      <c r="I25" s="20"/>
      <c r="N25" s="1"/>
      <c r="O25" s="1"/>
      <c r="P25" s="1"/>
      <c r="Q25" s="1"/>
      <c r="R25" s="1"/>
      <c r="S25" s="1"/>
      <c r="T25" s="1"/>
    </row>
    <row r="26" spans="1:20" x14ac:dyDescent="0.2">
      <c r="B26" s="6"/>
      <c r="C26" s="7"/>
      <c r="D26" s="7"/>
      <c r="N26" s="1"/>
      <c r="O26" s="1"/>
      <c r="P26" s="1"/>
      <c r="Q26" s="1"/>
      <c r="R26" s="1"/>
      <c r="S26" s="1"/>
      <c r="T26" s="1"/>
    </row>
    <row r="27" spans="1:20" x14ac:dyDescent="0.2">
      <c r="B27" s="6"/>
      <c r="C27" s="7"/>
      <c r="D27" s="7"/>
      <c r="N27" s="1"/>
      <c r="O27" s="1"/>
      <c r="P27" s="1"/>
      <c r="Q27" s="1"/>
      <c r="R27" s="1"/>
      <c r="S27" s="1"/>
      <c r="T27" s="1"/>
    </row>
    <row r="28" spans="1:20" x14ac:dyDescent="0.2">
      <c r="B28" s="6"/>
      <c r="C28" s="7"/>
      <c r="D28" s="7"/>
      <c r="N28" s="1"/>
      <c r="O28" s="1"/>
      <c r="P28" s="1"/>
      <c r="Q28" s="1"/>
      <c r="R28" s="1"/>
      <c r="S28" s="1"/>
      <c r="T28" s="1"/>
    </row>
    <row r="29" spans="1:20" x14ac:dyDescent="0.2">
      <c r="B29" s="6"/>
      <c r="C29" s="7"/>
      <c r="D29" s="7"/>
      <c r="N29" s="1"/>
      <c r="O29" s="1"/>
      <c r="P29" s="1"/>
      <c r="Q29" s="1"/>
      <c r="R29" s="1"/>
      <c r="S29" s="1"/>
      <c r="T29" s="1"/>
    </row>
    <row r="30" spans="1:20" x14ac:dyDescent="0.2">
      <c r="B30" s="6"/>
      <c r="C30" s="7"/>
      <c r="D30" s="7"/>
      <c r="N30" s="1"/>
      <c r="O30" s="1"/>
      <c r="P30" s="1"/>
      <c r="Q30" s="1"/>
      <c r="R30" s="1"/>
      <c r="S30" s="1"/>
      <c r="T30" s="1"/>
    </row>
    <row r="31" spans="1:20" x14ac:dyDescent="0.2">
      <c r="B31" s="6"/>
      <c r="C31" s="7"/>
      <c r="D31" s="7"/>
      <c r="N31" s="1"/>
      <c r="O31" s="1"/>
      <c r="P31" s="1"/>
      <c r="Q31" s="1"/>
      <c r="R31" s="1"/>
      <c r="S31" s="1"/>
      <c r="T31" s="1"/>
    </row>
    <row r="32" spans="1:20" x14ac:dyDescent="0.2">
      <c r="B32" s="6"/>
      <c r="C32" s="7"/>
      <c r="D32" s="7"/>
      <c r="N32" s="1"/>
      <c r="O32" s="1"/>
      <c r="P32" s="1"/>
      <c r="Q32" s="1"/>
      <c r="R32" s="1"/>
      <c r="S32" s="1"/>
      <c r="T32" s="1"/>
    </row>
    <row r="33" spans="2:20" x14ac:dyDescent="0.2">
      <c r="B33" s="6"/>
      <c r="C33" s="7"/>
      <c r="D33" s="7"/>
      <c r="N33" s="1"/>
      <c r="O33" s="1"/>
      <c r="P33" s="1"/>
      <c r="Q33" s="1"/>
      <c r="R33" s="1"/>
      <c r="S33" s="1"/>
      <c r="T33" s="1"/>
    </row>
    <row r="34" spans="2:20" x14ac:dyDescent="0.2">
      <c r="B34" s="6"/>
      <c r="C34" s="7"/>
      <c r="D34" s="7"/>
      <c r="N34" s="1"/>
      <c r="O34" s="1"/>
      <c r="P34" s="1"/>
      <c r="Q34" s="1"/>
      <c r="R34" s="1"/>
      <c r="S34" s="1"/>
      <c r="T34" s="1"/>
    </row>
    <row r="35" spans="2:20" x14ac:dyDescent="0.2">
      <c r="B35" s="6"/>
      <c r="C35" s="7"/>
      <c r="D35" s="7"/>
      <c r="N35" s="1"/>
      <c r="O35" s="1"/>
      <c r="P35" s="1"/>
      <c r="Q35" s="1"/>
      <c r="R35" s="1"/>
      <c r="S35" s="1"/>
      <c r="T35" s="1"/>
    </row>
    <row r="36" spans="2:20" x14ac:dyDescent="0.2">
      <c r="B36" s="6"/>
      <c r="C36" s="7"/>
      <c r="D36" s="7"/>
      <c r="N36" s="1"/>
      <c r="O36" s="1"/>
      <c r="P36" s="1"/>
      <c r="Q36" s="1"/>
      <c r="R36" s="1"/>
      <c r="S36" s="1"/>
      <c r="T36" s="1"/>
    </row>
    <row r="37" spans="2:20" x14ac:dyDescent="0.2">
      <c r="B37" s="6"/>
      <c r="C37" s="7"/>
      <c r="D37" s="7"/>
      <c r="N37" s="1"/>
      <c r="O37" s="1"/>
      <c r="P37" s="1"/>
      <c r="Q37" s="1"/>
      <c r="R37" s="1"/>
      <c r="S37" s="1"/>
      <c r="T37" s="1"/>
    </row>
    <row r="38" spans="2:20" x14ac:dyDescent="0.2">
      <c r="B38" s="6"/>
      <c r="C38" s="7"/>
      <c r="D38" s="7"/>
      <c r="N38" s="1"/>
      <c r="O38" s="1"/>
      <c r="P38" s="1"/>
      <c r="Q38" s="1"/>
      <c r="R38" s="1"/>
      <c r="S38" s="1"/>
      <c r="T38" s="1"/>
    </row>
    <row r="39" spans="2:20" x14ac:dyDescent="0.2">
      <c r="B39" s="6"/>
      <c r="C39" s="7"/>
      <c r="D3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8E68-30B6-0E40-AE92-C38262184BAC}">
  <dimension ref="A1:U54"/>
  <sheetViews>
    <sheetView zoomScale="142" zoomScaleNormal="132" workbookViewId="0">
      <selection activeCell="B2" sqref="B2"/>
    </sheetView>
  </sheetViews>
  <sheetFormatPr baseColWidth="10" defaultColWidth="11" defaultRowHeight="15.75" customHeight="1" x14ac:dyDescent="0.2"/>
  <cols>
    <col min="1" max="1" width="15.6640625" bestFit="1" customWidth="1"/>
    <col min="2" max="2" width="13.33203125" bestFit="1" customWidth="1"/>
    <col min="3" max="5" width="12.33203125" customWidth="1"/>
    <col min="6" max="10" width="13.33203125" bestFit="1" customWidth="1"/>
    <col min="11" max="11" width="10.6640625" bestFit="1" customWidth="1"/>
    <col min="12" max="12" width="13.33203125" bestFit="1" customWidth="1"/>
    <col min="13" max="13" width="9.33203125" style="3" bestFit="1" customWidth="1"/>
    <col min="15" max="15" width="13.1640625" bestFit="1" customWidth="1"/>
    <col min="16" max="20" width="11.1640625" bestFit="1" customWidth="1"/>
  </cols>
  <sheetData>
    <row r="1" spans="1:21" x14ac:dyDescent="0.2">
      <c r="A1" s="41" t="s">
        <v>18</v>
      </c>
      <c r="B1" s="26" t="s">
        <v>27</v>
      </c>
      <c r="C1" s="33" t="s">
        <v>31</v>
      </c>
      <c r="D1" s="33" t="s">
        <v>32</v>
      </c>
      <c r="E1" s="33" t="s">
        <v>33</v>
      </c>
      <c r="F1" s="27" t="s">
        <v>34</v>
      </c>
      <c r="G1" s="27" t="s">
        <v>42</v>
      </c>
      <c r="H1" s="27" t="s">
        <v>36</v>
      </c>
      <c r="I1" s="27" t="s">
        <v>43</v>
      </c>
      <c r="J1" s="27" t="s">
        <v>44</v>
      </c>
      <c r="K1" s="27" t="s">
        <v>45</v>
      </c>
      <c r="L1" s="27" t="s">
        <v>37</v>
      </c>
      <c r="M1" s="27" t="s">
        <v>38</v>
      </c>
      <c r="N1" s="27" t="s">
        <v>46</v>
      </c>
      <c r="O1" s="27" t="s">
        <v>47</v>
      </c>
      <c r="P1" s="27" t="s">
        <v>48</v>
      </c>
      <c r="Q1" s="27" t="s">
        <v>39</v>
      </c>
      <c r="R1" s="27" t="s">
        <v>40</v>
      </c>
      <c r="S1" s="27" t="s">
        <v>41</v>
      </c>
      <c r="T1" s="27" t="s">
        <v>49</v>
      </c>
      <c r="U1" s="27" t="s">
        <v>50</v>
      </c>
    </row>
    <row r="2" spans="1:21" x14ac:dyDescent="0.2">
      <c r="A2" s="42">
        <v>0</v>
      </c>
      <c r="B2" s="43">
        <f>0.02821*39.9</f>
        <v>1.1255789999999999</v>
      </c>
      <c r="C2" s="45">
        <v>0</v>
      </c>
      <c r="D2" s="25">
        <v>0</v>
      </c>
      <c r="E2" s="25">
        <v>0</v>
      </c>
      <c r="F2" s="25">
        <v>3.6240000000000003E-4</v>
      </c>
      <c r="G2" s="25">
        <v>3.4979999999999999E-4</v>
      </c>
      <c r="H2" s="25">
        <v>3.6086000000000001E-4</v>
      </c>
      <c r="I2" s="25">
        <v>3.2508E-4</v>
      </c>
      <c r="J2" s="25">
        <v>2.9067999999999997E-4</v>
      </c>
      <c r="K2" s="25">
        <v>2.0807000000000001E-4</v>
      </c>
      <c r="L2" s="25">
        <v>3.0930999999999998E-4</v>
      </c>
      <c r="M2" s="25">
        <v>4.3085000000000004E-4</v>
      </c>
      <c r="N2" s="25">
        <v>2.4665000000000001E-4</v>
      </c>
      <c r="O2" s="25">
        <v>2.8795999999999997E-4</v>
      </c>
      <c r="P2" s="25">
        <v>1.6062999999999999E-4</v>
      </c>
      <c r="Q2" s="25">
        <v>5.1551000000000006E-4</v>
      </c>
      <c r="R2" s="25">
        <v>3.3056999999999997E-4</v>
      </c>
      <c r="S2" s="25">
        <v>2.9189E-4</v>
      </c>
      <c r="T2" s="25">
        <v>3.1352999999999996E-4</v>
      </c>
      <c r="U2" s="25">
        <v>1.7185E-4</v>
      </c>
    </row>
    <row r="3" spans="1:21" x14ac:dyDescent="0.2">
      <c r="A3" s="41">
        <v>150000</v>
      </c>
      <c r="B3" s="27">
        <f>0.02821*39.9</f>
        <v>1.1255789999999999</v>
      </c>
      <c r="C3" s="25">
        <v>0</v>
      </c>
      <c r="D3" s="44">
        <v>0</v>
      </c>
      <c r="E3" s="25">
        <v>0</v>
      </c>
      <c r="F3" s="25">
        <v>3.6423E-4</v>
      </c>
      <c r="G3" s="25">
        <v>3.59E-4</v>
      </c>
      <c r="H3" s="25">
        <v>3.6696999999999999E-4</v>
      </c>
      <c r="I3" s="25">
        <v>3.257E-4</v>
      </c>
      <c r="J3" s="25">
        <v>3.0236E-4</v>
      </c>
      <c r="K3" s="25">
        <v>2.2192000000000002E-4</v>
      </c>
      <c r="L3" s="25">
        <v>3.3156E-4</v>
      </c>
      <c r="M3" s="25">
        <v>4.5777000000000003E-4</v>
      </c>
      <c r="N3" s="25">
        <v>2.3894000000000001E-4</v>
      </c>
      <c r="O3" s="25">
        <v>2.8924000000000002E-4</v>
      </c>
      <c r="P3" s="25">
        <v>1.5373000000000001E-4</v>
      </c>
      <c r="Q3" s="25">
        <v>5.2022000000000006E-4</v>
      </c>
      <c r="R3" s="25">
        <v>3.3632000000000003E-4</v>
      </c>
      <c r="S3" s="25">
        <v>3.2582999999999999E-4</v>
      </c>
      <c r="T3" s="25">
        <v>3.1241999999999999E-4</v>
      </c>
      <c r="U3" s="25">
        <v>1.6144E-4</v>
      </c>
    </row>
    <row r="4" spans="1:21" x14ac:dyDescent="0.2">
      <c r="A4" s="10"/>
      <c r="B4" s="1"/>
      <c r="M4"/>
      <c r="O4" s="23"/>
      <c r="P4" s="24"/>
      <c r="Q4" s="24"/>
      <c r="R4" s="24"/>
      <c r="S4" s="24"/>
      <c r="T4" s="24"/>
    </row>
    <row r="5" spans="1:21" x14ac:dyDescent="0.2">
      <c r="A5" s="10"/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O5" s="23"/>
      <c r="P5" s="24"/>
      <c r="Q5" s="24"/>
      <c r="R5" s="24"/>
      <c r="S5" s="24"/>
      <c r="T5" s="24"/>
    </row>
    <row r="6" spans="1:21" x14ac:dyDescent="0.2">
      <c r="A6" s="10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x14ac:dyDescent="0.2">
      <c r="A7" s="10"/>
      <c r="B7" s="20"/>
      <c r="C7" s="20"/>
      <c r="D7" s="20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x14ac:dyDescent="0.2">
      <c r="A8" s="10"/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O8" s="23"/>
      <c r="P8" s="24"/>
      <c r="Q8" s="24"/>
      <c r="R8" s="24"/>
      <c r="S8" s="24"/>
      <c r="T8" s="24"/>
    </row>
    <row r="9" spans="1:21" x14ac:dyDescent="0.2">
      <c r="A9" s="10"/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O9" s="23"/>
      <c r="P9" s="24"/>
      <c r="Q9" s="24"/>
      <c r="R9" s="24"/>
      <c r="S9" s="24"/>
      <c r="T9" s="24"/>
    </row>
    <row r="10" spans="1:21" x14ac:dyDescent="0.2">
      <c r="A10" s="10"/>
      <c r="B10" s="20"/>
      <c r="C10" s="20"/>
      <c r="D10" s="20"/>
      <c r="E10" s="20"/>
      <c r="F10" s="1"/>
      <c r="G10" s="1"/>
      <c r="H10" s="1"/>
      <c r="I10" s="1"/>
      <c r="J10" s="1"/>
      <c r="K10" s="1"/>
      <c r="L10" s="1"/>
      <c r="O10" s="23"/>
      <c r="P10" s="24"/>
      <c r="Q10" s="24"/>
      <c r="R10" s="24"/>
      <c r="S10" s="24"/>
      <c r="T10" s="24"/>
    </row>
    <row r="11" spans="1:21" x14ac:dyDescent="0.2">
      <c r="A11" s="10"/>
      <c r="B11" s="20"/>
      <c r="C11" s="20"/>
      <c r="D11" s="20"/>
      <c r="E11" s="20"/>
      <c r="F11" s="1"/>
      <c r="G11" s="1"/>
      <c r="H11" s="1"/>
      <c r="I11" s="1"/>
      <c r="J11" s="1"/>
      <c r="K11" s="1"/>
      <c r="L11" s="1"/>
      <c r="O11" s="23"/>
      <c r="P11" s="24"/>
      <c r="Q11" s="24"/>
      <c r="R11" s="24"/>
      <c r="S11" s="24"/>
      <c r="T11" s="24"/>
    </row>
    <row r="12" spans="1:21" x14ac:dyDescent="0.2">
      <c r="A12" s="10"/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O12" s="23"/>
      <c r="P12" s="24"/>
      <c r="Q12" s="24"/>
      <c r="R12" s="24"/>
      <c r="S12" s="24"/>
      <c r="T12" s="24"/>
    </row>
    <row r="13" spans="1:21" x14ac:dyDescent="0.2">
      <c r="A13" s="10"/>
      <c r="B13" s="20"/>
      <c r="C13" s="20"/>
      <c r="D13" s="20"/>
      <c r="E13" s="20"/>
      <c r="O13" s="23"/>
      <c r="P13" s="24"/>
      <c r="Q13" s="24"/>
      <c r="R13" s="24"/>
      <c r="S13" s="24"/>
      <c r="T13" s="24"/>
    </row>
    <row r="14" spans="1:21" x14ac:dyDescent="0.2">
      <c r="A14" s="10"/>
      <c r="B14" s="20"/>
      <c r="C14" s="20"/>
      <c r="D14" s="20"/>
      <c r="E14" s="20"/>
      <c r="O14" s="23"/>
      <c r="P14" s="24"/>
      <c r="Q14" s="24"/>
      <c r="R14" s="24"/>
      <c r="S14" s="24"/>
      <c r="T14" s="24"/>
    </row>
    <row r="15" spans="1:21" x14ac:dyDescent="0.2">
      <c r="A15" s="10"/>
      <c r="B15" s="20"/>
      <c r="C15" s="20"/>
      <c r="D15" s="20"/>
      <c r="E15" s="20"/>
      <c r="F15" s="21"/>
      <c r="G15" s="21"/>
      <c r="H15" s="21"/>
      <c r="I15" s="21"/>
      <c r="J15" s="21"/>
      <c r="K15" s="21"/>
      <c r="L15" s="21"/>
      <c r="O15" s="23"/>
      <c r="P15" s="24"/>
      <c r="Q15" s="24"/>
      <c r="R15" s="24"/>
      <c r="S15" s="24"/>
      <c r="T15" s="24"/>
    </row>
    <row r="16" spans="1:21" x14ac:dyDescent="0.2">
      <c r="A16" s="10"/>
      <c r="B16" s="20"/>
      <c r="C16" s="20"/>
      <c r="D16" s="20"/>
      <c r="E16" s="20"/>
      <c r="F16" s="21"/>
      <c r="G16" s="21"/>
      <c r="H16" s="21"/>
      <c r="I16" s="21"/>
      <c r="J16" s="21"/>
      <c r="K16" s="21"/>
      <c r="L16" s="21"/>
      <c r="O16" s="23"/>
      <c r="P16" s="24"/>
      <c r="Q16" s="24"/>
      <c r="R16" s="24"/>
      <c r="S16" s="24"/>
      <c r="T16" s="24"/>
    </row>
    <row r="17" spans="1:20" x14ac:dyDescent="0.2">
      <c r="A17" s="10"/>
      <c r="B17" s="20"/>
      <c r="C17" s="20"/>
      <c r="D17" s="20"/>
      <c r="E17" s="20"/>
      <c r="F17" s="21"/>
      <c r="G17" s="21"/>
      <c r="H17" s="21"/>
      <c r="I17" s="21"/>
      <c r="J17" s="21"/>
      <c r="K17" s="21"/>
      <c r="L17" s="21"/>
      <c r="O17" s="23"/>
      <c r="P17" s="24"/>
      <c r="Q17" s="24"/>
      <c r="R17" s="24"/>
      <c r="S17" s="24"/>
      <c r="T17" s="24"/>
    </row>
    <row r="18" spans="1:20" x14ac:dyDescent="0.2">
      <c r="A18" s="10"/>
      <c r="B18" s="20"/>
      <c r="C18" s="20"/>
      <c r="D18" s="20"/>
      <c r="E18" s="20"/>
      <c r="F18" s="21"/>
      <c r="G18" s="21"/>
      <c r="H18" s="21"/>
      <c r="I18" s="21"/>
      <c r="J18" s="21"/>
      <c r="K18" s="21"/>
      <c r="L18" s="21"/>
      <c r="O18" s="23"/>
      <c r="P18" s="24"/>
      <c r="Q18" s="24"/>
      <c r="R18" s="24"/>
      <c r="S18" s="24"/>
      <c r="T18" s="24"/>
    </row>
    <row r="19" spans="1:20" x14ac:dyDescent="0.2">
      <c r="A19" s="10"/>
      <c r="B19" s="20"/>
      <c r="C19" s="20"/>
      <c r="D19" s="20"/>
      <c r="E19" s="20"/>
      <c r="F19" s="21"/>
      <c r="G19" s="21"/>
      <c r="H19" s="21"/>
      <c r="I19" s="21"/>
      <c r="J19" s="21"/>
      <c r="K19" s="21"/>
      <c r="L19" s="21"/>
      <c r="O19" s="23"/>
      <c r="P19" s="24"/>
      <c r="Q19" s="24"/>
      <c r="R19" s="24"/>
      <c r="S19" s="24"/>
      <c r="T19" s="24"/>
    </row>
    <row r="20" spans="1:20" x14ac:dyDescent="0.2">
      <c r="A20" s="10"/>
      <c r="B20" s="20"/>
      <c r="C20" s="20"/>
      <c r="D20" s="20"/>
      <c r="E20" s="20"/>
      <c r="F20" s="21"/>
      <c r="G20" s="21"/>
      <c r="H20" s="21"/>
      <c r="I20" s="21"/>
      <c r="J20" s="21"/>
      <c r="K20" s="21"/>
      <c r="L20" s="21"/>
      <c r="O20" s="23"/>
      <c r="P20" s="24"/>
      <c r="Q20" s="24"/>
      <c r="R20" s="24"/>
      <c r="S20" s="24"/>
      <c r="T20" s="24"/>
    </row>
    <row r="21" spans="1:20" x14ac:dyDescent="0.2">
      <c r="A21" s="10"/>
      <c r="B21" s="20"/>
      <c r="C21" s="20"/>
      <c r="D21" s="20"/>
      <c r="E21" s="20"/>
      <c r="F21" s="21"/>
      <c r="G21" s="21"/>
      <c r="H21" s="21"/>
      <c r="I21" s="21"/>
      <c r="J21" s="21"/>
      <c r="K21" s="21"/>
      <c r="L21" s="21"/>
      <c r="O21" s="23"/>
      <c r="P21" s="24"/>
      <c r="Q21" s="24"/>
      <c r="R21" s="24"/>
      <c r="S21" s="24"/>
      <c r="T21" s="24"/>
    </row>
    <row r="22" spans="1:20" x14ac:dyDescent="0.2">
      <c r="A22" s="10"/>
      <c r="B22" s="20"/>
      <c r="C22" s="20"/>
      <c r="D22" s="20"/>
      <c r="E22" s="20"/>
      <c r="F22" s="21"/>
      <c r="G22" s="21"/>
      <c r="H22" s="21"/>
      <c r="I22" s="21"/>
      <c r="J22" s="21"/>
      <c r="K22" s="21"/>
      <c r="L22" s="21"/>
      <c r="O22" s="23"/>
      <c r="P22" s="24"/>
      <c r="Q22" s="24"/>
      <c r="R22" s="24"/>
      <c r="S22" s="24"/>
      <c r="T22" s="24"/>
    </row>
    <row r="23" spans="1:20" x14ac:dyDescent="0.2">
      <c r="A23" s="10"/>
      <c r="B23" s="20"/>
      <c r="C23" s="20"/>
      <c r="D23" s="20"/>
      <c r="E23" s="20"/>
      <c r="F23" s="21"/>
      <c r="G23" s="21"/>
      <c r="H23" s="21"/>
      <c r="I23" s="21"/>
      <c r="J23" s="21"/>
      <c r="K23" s="21"/>
      <c r="L23" s="21"/>
      <c r="O23" s="23"/>
      <c r="P23" s="24"/>
      <c r="Q23" s="24"/>
      <c r="R23" s="24"/>
      <c r="S23" s="24"/>
      <c r="T23" s="24"/>
    </row>
    <row r="24" spans="1:20" x14ac:dyDescent="0.2">
      <c r="A24" s="10"/>
      <c r="B24" s="20"/>
      <c r="C24" s="20"/>
      <c r="D24" s="20"/>
      <c r="E24" s="20"/>
      <c r="F24" s="21"/>
      <c r="G24" s="21"/>
      <c r="H24" s="21"/>
      <c r="I24" s="21"/>
      <c r="J24" s="21"/>
      <c r="K24" s="21"/>
      <c r="L24" s="21"/>
      <c r="O24" s="23"/>
      <c r="P24" s="24"/>
      <c r="Q24" s="24"/>
      <c r="R24" s="24"/>
      <c r="S24" s="24"/>
      <c r="T24" s="24"/>
    </row>
    <row r="25" spans="1:20" x14ac:dyDescent="0.2">
      <c r="A25" s="10"/>
      <c r="B25" s="20"/>
      <c r="C25" s="20"/>
      <c r="D25" s="20"/>
      <c r="E25" s="20"/>
      <c r="F25" s="21"/>
      <c r="G25" s="21"/>
      <c r="H25" s="21"/>
      <c r="I25" s="21"/>
      <c r="J25" s="21"/>
      <c r="K25" s="21"/>
      <c r="L25" s="21"/>
      <c r="O25" s="23"/>
      <c r="P25" s="24"/>
      <c r="Q25" s="24"/>
      <c r="R25" s="24"/>
      <c r="S25" s="24"/>
      <c r="T25" s="24"/>
    </row>
    <row r="26" spans="1:20" x14ac:dyDescent="0.2">
      <c r="A26" s="10"/>
      <c r="B26" s="20"/>
      <c r="C26" s="20"/>
      <c r="D26" s="20"/>
      <c r="E26" s="20"/>
      <c r="F26" s="21"/>
      <c r="G26" s="21"/>
      <c r="H26" s="21"/>
      <c r="I26" s="21"/>
      <c r="J26" s="21"/>
      <c r="K26" s="21"/>
      <c r="L26" s="21"/>
      <c r="O26" s="23"/>
      <c r="P26" s="24"/>
      <c r="Q26" s="24"/>
      <c r="R26" s="24"/>
      <c r="S26" s="24"/>
      <c r="T26" s="24"/>
    </row>
    <row r="27" spans="1:20" x14ac:dyDescent="0.2">
      <c r="A27" s="10"/>
      <c r="B27" s="20"/>
      <c r="C27" s="20"/>
      <c r="D27" s="20"/>
      <c r="E27" s="20"/>
      <c r="F27" s="21"/>
      <c r="G27" s="21"/>
      <c r="H27" s="21"/>
      <c r="I27" s="21"/>
      <c r="J27" s="21"/>
      <c r="K27" s="21"/>
      <c r="L27" s="21"/>
      <c r="O27" s="23"/>
      <c r="P27" s="24"/>
      <c r="Q27" s="24"/>
      <c r="R27" s="24"/>
      <c r="S27" s="24"/>
      <c r="T27" s="24"/>
    </row>
    <row r="28" spans="1:20" x14ac:dyDescent="0.2">
      <c r="A28" s="10"/>
      <c r="B28" s="20"/>
      <c r="C28" s="20"/>
      <c r="D28" s="20"/>
      <c r="E28" s="20"/>
      <c r="F28" s="21"/>
      <c r="G28" s="21"/>
      <c r="H28" s="21"/>
      <c r="I28" s="21"/>
      <c r="J28" s="21"/>
      <c r="K28" s="21"/>
      <c r="L28" s="21"/>
      <c r="O28" s="23"/>
      <c r="P28" s="24"/>
      <c r="Q28" s="24"/>
      <c r="R28" s="24"/>
      <c r="S28" s="24"/>
      <c r="T28" s="24"/>
    </row>
    <row r="29" spans="1:20" x14ac:dyDescent="0.2">
      <c r="A29" s="10"/>
      <c r="B29" s="20"/>
      <c r="C29" s="20"/>
      <c r="D29" s="20"/>
      <c r="E29" s="20"/>
      <c r="F29" s="21"/>
      <c r="G29" s="21"/>
      <c r="H29" s="21"/>
      <c r="I29" s="21"/>
      <c r="J29" s="21"/>
      <c r="K29" s="21"/>
      <c r="L29" s="21"/>
      <c r="O29" s="23"/>
      <c r="P29" s="24"/>
      <c r="Q29" s="24"/>
      <c r="R29" s="24"/>
      <c r="S29" s="24"/>
      <c r="T29" s="24"/>
    </row>
    <row r="30" spans="1:20" x14ac:dyDescent="0.2">
      <c r="A30" s="10"/>
      <c r="B30" s="20"/>
      <c r="C30" s="20"/>
      <c r="D30" s="20"/>
      <c r="E30" s="20"/>
      <c r="F30" s="21"/>
      <c r="G30" s="21"/>
      <c r="H30" s="21"/>
      <c r="I30" s="21"/>
      <c r="J30" s="21"/>
      <c r="K30" s="21"/>
      <c r="L30" s="21"/>
      <c r="O30" s="23"/>
      <c r="P30" s="24"/>
      <c r="Q30" s="24"/>
      <c r="R30" s="24"/>
      <c r="S30" s="24"/>
      <c r="T30" s="24"/>
    </row>
    <row r="31" spans="1:20" x14ac:dyDescent="0.2">
      <c r="A31" s="10"/>
      <c r="B31" s="20"/>
      <c r="C31" s="20"/>
      <c r="D31" s="20"/>
      <c r="E31" s="20"/>
      <c r="F31" s="21"/>
      <c r="G31" s="21"/>
      <c r="H31" s="21"/>
      <c r="I31" s="21"/>
      <c r="J31" s="21"/>
      <c r="K31" s="21"/>
      <c r="L31" s="21"/>
      <c r="O31" s="23"/>
      <c r="P31" s="24"/>
      <c r="Q31" s="24"/>
      <c r="R31" s="24"/>
      <c r="S31" s="24"/>
      <c r="T31" s="24"/>
    </row>
    <row r="32" spans="1:20" x14ac:dyDescent="0.2">
      <c r="A32" s="10"/>
      <c r="B32" s="20"/>
      <c r="C32" s="20"/>
      <c r="D32" s="20"/>
      <c r="E32" s="20"/>
      <c r="F32" s="21"/>
      <c r="G32" s="21"/>
      <c r="H32" s="21"/>
      <c r="I32" s="21"/>
      <c r="J32" s="21"/>
      <c r="K32" s="21"/>
      <c r="L32" s="21"/>
      <c r="O32" s="23"/>
      <c r="P32" s="24"/>
      <c r="Q32" s="24"/>
      <c r="R32" s="24"/>
      <c r="S32" s="24"/>
      <c r="T32" s="24"/>
    </row>
    <row r="33" spans="1:20" x14ac:dyDescent="0.2">
      <c r="A33" s="10"/>
      <c r="B33" s="20"/>
      <c r="C33" s="20"/>
      <c r="D33" s="20"/>
      <c r="E33" s="20"/>
      <c r="F33" s="21"/>
      <c r="G33" s="21"/>
      <c r="H33" s="21"/>
      <c r="I33" s="21"/>
      <c r="J33" s="21"/>
      <c r="K33" s="21"/>
      <c r="L33" s="21"/>
      <c r="O33" s="23"/>
      <c r="P33" s="24"/>
      <c r="Q33" s="24"/>
      <c r="R33" s="24"/>
      <c r="S33" s="24"/>
      <c r="T33" s="24"/>
    </row>
    <row r="34" spans="1:20" x14ac:dyDescent="0.2">
      <c r="A34" s="10"/>
      <c r="B34" s="20"/>
      <c r="C34" s="20"/>
      <c r="D34" s="20"/>
      <c r="E34" s="20"/>
      <c r="F34" s="21"/>
      <c r="G34" s="21"/>
      <c r="H34" s="21"/>
      <c r="I34" s="21"/>
      <c r="J34" s="21"/>
      <c r="K34" s="21"/>
      <c r="L34" s="21"/>
      <c r="O34" s="23"/>
      <c r="P34" s="24"/>
      <c r="Q34" s="24"/>
      <c r="R34" s="24"/>
      <c r="S34" s="24"/>
      <c r="T34" s="24"/>
    </row>
    <row r="35" spans="1:20" x14ac:dyDescent="0.2">
      <c r="A35" s="10"/>
      <c r="B35" s="20"/>
      <c r="C35" s="20"/>
      <c r="D35" s="20"/>
      <c r="E35" s="20"/>
      <c r="F35" s="21"/>
      <c r="G35" s="21"/>
      <c r="H35" s="21"/>
      <c r="I35" s="21"/>
      <c r="J35" s="21"/>
      <c r="K35" s="21"/>
      <c r="L35" s="21"/>
      <c r="O35" s="23"/>
      <c r="P35" s="24"/>
      <c r="Q35" s="24"/>
      <c r="R35" s="24"/>
      <c r="S35" s="24"/>
      <c r="T35" s="24"/>
    </row>
    <row r="36" spans="1:20" x14ac:dyDescent="0.2">
      <c r="A36" s="10"/>
      <c r="B36" s="20"/>
      <c r="C36" s="20"/>
      <c r="D36" s="20"/>
      <c r="E36" s="20"/>
      <c r="F36" s="21"/>
      <c r="G36" s="21"/>
      <c r="H36" s="21"/>
      <c r="I36" s="21"/>
      <c r="J36" s="21"/>
      <c r="K36" s="21"/>
      <c r="L36" s="21"/>
      <c r="O36" s="23"/>
      <c r="P36" s="24"/>
      <c r="Q36" s="24"/>
      <c r="R36" s="24"/>
      <c r="S36" s="24"/>
      <c r="T36" s="24"/>
    </row>
    <row r="37" spans="1:20" x14ac:dyDescent="0.2">
      <c r="A37" s="10"/>
      <c r="B37" s="20"/>
      <c r="C37" s="20"/>
      <c r="D37" s="20"/>
      <c r="E37" s="20"/>
      <c r="F37" s="21"/>
      <c r="G37" s="21"/>
      <c r="H37" s="21"/>
      <c r="I37" s="21"/>
      <c r="J37" s="21"/>
      <c r="K37" s="21"/>
      <c r="L37" s="21"/>
      <c r="O37" s="23"/>
      <c r="P37" s="24"/>
      <c r="Q37" s="24"/>
      <c r="R37" s="24"/>
      <c r="S37" s="24"/>
      <c r="T37" s="24"/>
    </row>
    <row r="38" spans="1:20" x14ac:dyDescent="0.2">
      <c r="A38" s="10"/>
      <c r="B38" s="20"/>
      <c r="C38" s="20"/>
      <c r="D38" s="20"/>
      <c r="E38" s="20"/>
      <c r="F38" s="21"/>
      <c r="G38" s="21"/>
      <c r="H38" s="21"/>
      <c r="I38" s="21"/>
      <c r="J38" s="21"/>
      <c r="K38" s="21"/>
      <c r="L38" s="21"/>
      <c r="O38" s="23"/>
      <c r="P38" s="24"/>
      <c r="Q38" s="24"/>
      <c r="R38" s="24"/>
      <c r="S38" s="24"/>
      <c r="T38" s="24"/>
    </row>
    <row r="39" spans="1:20" x14ac:dyDescent="0.2">
      <c r="A39" s="10"/>
      <c r="B39" s="20"/>
      <c r="C39" s="20"/>
      <c r="D39" s="20"/>
      <c r="E39" s="20"/>
      <c r="F39" s="21"/>
      <c r="G39" s="21"/>
      <c r="H39" s="21"/>
      <c r="I39" s="21"/>
      <c r="J39" s="21"/>
      <c r="K39" s="21"/>
      <c r="L39" s="21"/>
      <c r="O39" s="23"/>
      <c r="P39" s="24"/>
      <c r="Q39" s="24"/>
      <c r="R39" s="24"/>
      <c r="S39" s="24"/>
      <c r="T39" s="24"/>
    </row>
    <row r="40" spans="1:20" x14ac:dyDescent="0.2">
      <c r="A40" s="10"/>
      <c r="B40" s="20"/>
      <c r="C40" s="20"/>
      <c r="D40" s="20"/>
      <c r="E40" s="20"/>
      <c r="F40" s="21"/>
      <c r="G40" s="21"/>
      <c r="H40" s="21"/>
      <c r="I40" s="21"/>
      <c r="J40" s="21"/>
      <c r="K40" s="21"/>
      <c r="L40" s="21"/>
      <c r="O40" s="23"/>
      <c r="P40" s="24"/>
      <c r="Q40" s="24"/>
      <c r="R40" s="24"/>
      <c r="S40" s="24"/>
      <c r="T40" s="24"/>
    </row>
    <row r="41" spans="1:20" x14ac:dyDescent="0.2">
      <c r="A41" s="10"/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O41" s="23"/>
      <c r="P41" s="24"/>
      <c r="Q41" s="24"/>
      <c r="R41" s="24"/>
      <c r="S41" s="24"/>
      <c r="T41" s="24"/>
    </row>
    <row r="42" spans="1:20" x14ac:dyDescent="0.2">
      <c r="A42" s="10"/>
      <c r="B42" s="20"/>
      <c r="C42" s="20"/>
      <c r="D42" s="20"/>
      <c r="E42" s="20"/>
      <c r="F42" s="21"/>
      <c r="G42" s="21"/>
      <c r="H42" s="21"/>
      <c r="I42" s="21"/>
      <c r="J42" s="21"/>
      <c r="K42" s="21"/>
      <c r="L42" s="21"/>
      <c r="O42" s="23"/>
      <c r="P42" s="24"/>
      <c r="Q42" s="24"/>
      <c r="R42" s="24"/>
      <c r="S42" s="24"/>
      <c r="T42" s="24"/>
    </row>
    <row r="43" spans="1:20" x14ac:dyDescent="0.2">
      <c r="A43" s="10"/>
      <c r="B43" s="20"/>
      <c r="C43" s="20"/>
      <c r="D43" s="20"/>
      <c r="E43" s="20"/>
      <c r="F43" s="21"/>
      <c r="G43" s="21"/>
      <c r="H43" s="21"/>
      <c r="I43" s="21"/>
      <c r="J43" s="21"/>
      <c r="K43" s="21"/>
      <c r="L43" s="21"/>
      <c r="O43" s="23"/>
      <c r="P43" s="24"/>
      <c r="Q43" s="24"/>
      <c r="R43" s="24"/>
      <c r="S43" s="24"/>
      <c r="T43" s="24"/>
    </row>
    <row r="44" spans="1:20" x14ac:dyDescent="0.2">
      <c r="A44" s="10"/>
      <c r="B44" s="20"/>
      <c r="C44" s="20"/>
      <c r="D44" s="20"/>
      <c r="E44" s="20"/>
      <c r="F44" s="21"/>
      <c r="G44" s="21"/>
      <c r="H44" s="21"/>
      <c r="I44" s="21"/>
      <c r="J44" s="21"/>
      <c r="K44" s="21"/>
      <c r="L44" s="21"/>
      <c r="O44" s="23"/>
      <c r="P44" s="24"/>
      <c r="Q44" s="24"/>
      <c r="R44" s="24"/>
      <c r="S44" s="24"/>
      <c r="T44" s="24"/>
    </row>
    <row r="45" spans="1:20" x14ac:dyDescent="0.2">
      <c r="A45" s="10"/>
      <c r="B45" s="20"/>
      <c r="C45" s="20"/>
      <c r="D45" s="20"/>
      <c r="E45" s="20"/>
      <c r="F45" s="21"/>
      <c r="G45" s="21"/>
      <c r="H45" s="21"/>
      <c r="I45" s="21"/>
      <c r="J45" s="21"/>
      <c r="K45" s="21"/>
      <c r="L45" s="21"/>
      <c r="O45" s="23"/>
      <c r="P45" s="24"/>
      <c r="Q45" s="24"/>
      <c r="R45" s="24"/>
      <c r="S45" s="24"/>
      <c r="T45" s="24"/>
    </row>
    <row r="46" spans="1:20" x14ac:dyDescent="0.2">
      <c r="A46" s="10"/>
      <c r="B46" s="20"/>
      <c r="C46" s="20"/>
      <c r="D46" s="20"/>
      <c r="E46" s="20"/>
      <c r="F46" s="21"/>
      <c r="G46" s="21"/>
      <c r="H46" s="21"/>
      <c r="I46" s="21"/>
      <c r="J46" s="21"/>
      <c r="K46" s="21"/>
      <c r="L46" s="21"/>
      <c r="O46" s="23"/>
      <c r="P46" s="24"/>
      <c r="Q46" s="24"/>
      <c r="R46" s="24"/>
      <c r="S46" s="24"/>
      <c r="T46" s="24"/>
    </row>
    <row r="47" spans="1:20" x14ac:dyDescent="0.2">
      <c r="A47" s="10"/>
      <c r="B47" s="20"/>
      <c r="C47" s="20"/>
      <c r="D47" s="20"/>
      <c r="E47" s="20"/>
      <c r="F47" s="21"/>
      <c r="G47" s="21"/>
      <c r="H47" s="21"/>
      <c r="I47" s="21"/>
      <c r="J47" s="21"/>
      <c r="K47" s="21"/>
      <c r="L47" s="21"/>
      <c r="O47" s="23"/>
      <c r="P47" s="24"/>
      <c r="Q47" s="24"/>
      <c r="R47" s="24"/>
      <c r="S47" s="24"/>
      <c r="T47" s="24"/>
    </row>
    <row r="48" spans="1:20" x14ac:dyDescent="0.2">
      <c r="A48" s="10"/>
      <c r="B48" s="20"/>
      <c r="C48" s="20"/>
      <c r="D48" s="20"/>
      <c r="E48" s="20"/>
      <c r="F48" s="21"/>
      <c r="G48" s="21"/>
      <c r="H48" s="21"/>
      <c r="I48" s="21"/>
      <c r="J48" s="21"/>
      <c r="K48" s="21"/>
      <c r="L48" s="21"/>
      <c r="O48" s="23"/>
      <c r="P48" s="24"/>
      <c r="Q48" s="24"/>
      <c r="R48" s="24"/>
      <c r="S48" s="24"/>
      <c r="T48" s="24"/>
    </row>
    <row r="49" spans="1:20" x14ac:dyDescent="0.2">
      <c r="A49" s="10"/>
      <c r="B49" s="20"/>
      <c r="C49" s="20"/>
      <c r="D49" s="20"/>
      <c r="E49" s="20"/>
      <c r="F49" s="21"/>
      <c r="G49" s="21"/>
      <c r="H49" s="21"/>
      <c r="I49" s="21"/>
      <c r="J49" s="21"/>
      <c r="K49" s="21"/>
      <c r="L49" s="21"/>
      <c r="O49" s="23"/>
      <c r="P49" s="24"/>
      <c r="Q49" s="24"/>
      <c r="R49" s="24"/>
      <c r="S49" s="24"/>
      <c r="T49" s="24"/>
    </row>
    <row r="50" spans="1:20" x14ac:dyDescent="0.2">
      <c r="A50" s="10"/>
      <c r="B50" s="20"/>
      <c r="C50" s="20"/>
      <c r="D50" s="20"/>
      <c r="E50" s="20"/>
      <c r="F50" s="21"/>
      <c r="G50" s="21"/>
      <c r="H50" s="21"/>
      <c r="I50" s="21"/>
      <c r="J50" s="21"/>
      <c r="K50" s="21"/>
      <c r="L50" s="21"/>
      <c r="O50" s="23"/>
      <c r="P50" s="24"/>
      <c r="Q50" s="24"/>
      <c r="R50" s="24"/>
      <c r="S50" s="24"/>
      <c r="T50" s="24"/>
    </row>
    <row r="51" spans="1:20" x14ac:dyDescent="0.2">
      <c r="A51" s="10"/>
      <c r="B51" s="20"/>
      <c r="C51" s="20"/>
      <c r="D51" s="20"/>
      <c r="E51" s="20"/>
      <c r="F51" s="21"/>
      <c r="G51" s="21"/>
      <c r="H51" s="21"/>
      <c r="I51" s="21"/>
      <c r="J51" s="21"/>
      <c r="K51" s="21"/>
      <c r="L51" s="21"/>
      <c r="O51" s="23"/>
      <c r="P51" s="24"/>
      <c r="Q51" s="24"/>
      <c r="R51" s="24"/>
      <c r="S51" s="24"/>
      <c r="T51" s="24"/>
    </row>
    <row r="52" spans="1:20" x14ac:dyDescent="0.2">
      <c r="A52" s="22"/>
      <c r="O52" s="23"/>
      <c r="P52" s="24"/>
      <c r="Q52" s="24"/>
      <c r="R52" s="24"/>
      <c r="S52" s="24"/>
      <c r="T52" s="24"/>
    </row>
    <row r="53" spans="1:20" x14ac:dyDescent="0.2">
      <c r="A53" s="22"/>
      <c r="Q53" s="20"/>
    </row>
    <row r="54" spans="1:20" x14ac:dyDescent="0.2">
      <c r="Q5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A0F-AC1E-0C4B-8BC0-B66B85E92715}">
  <dimension ref="A1:V56"/>
  <sheetViews>
    <sheetView zoomScale="113" workbookViewId="0">
      <selection activeCell="H12" sqref="H12"/>
    </sheetView>
  </sheetViews>
  <sheetFormatPr baseColWidth="10" defaultColWidth="11" defaultRowHeight="15.75" customHeight="1" x14ac:dyDescent="0.2"/>
  <cols>
    <col min="4" max="4" width="12.6640625" bestFit="1" customWidth="1"/>
  </cols>
  <sheetData>
    <row r="1" spans="1:22" x14ac:dyDescent="0.2">
      <c r="A1" s="25" t="s">
        <v>18</v>
      </c>
      <c r="B1" s="26" t="s">
        <v>27</v>
      </c>
      <c r="C1" s="11" t="s">
        <v>31</v>
      </c>
      <c r="D1" s="11" t="s">
        <v>32</v>
      </c>
      <c r="E1" s="11" t="s">
        <v>33</v>
      </c>
      <c r="F1" s="27" t="s">
        <v>34</v>
      </c>
      <c r="G1" s="27" t="s">
        <v>42</v>
      </c>
      <c r="H1" s="27" t="s">
        <v>36</v>
      </c>
      <c r="I1" s="27" t="s">
        <v>43</v>
      </c>
      <c r="J1" s="27" t="s">
        <v>44</v>
      </c>
      <c r="K1" s="27" t="s">
        <v>45</v>
      </c>
      <c r="L1" s="27" t="s">
        <v>37</v>
      </c>
      <c r="M1" s="27" t="s">
        <v>38</v>
      </c>
      <c r="N1" s="27" t="s">
        <v>46</v>
      </c>
      <c r="O1" s="27" t="s">
        <v>47</v>
      </c>
      <c r="P1" s="27" t="s">
        <v>48</v>
      </c>
      <c r="Q1" s="27" t="s">
        <v>39</v>
      </c>
      <c r="R1" s="27" t="s">
        <v>40</v>
      </c>
      <c r="S1" s="27" t="s">
        <v>41</v>
      </c>
      <c r="T1" s="27" t="s">
        <v>49</v>
      </c>
      <c r="U1" s="27" t="s">
        <v>50</v>
      </c>
      <c r="V1" s="27" t="s">
        <v>51</v>
      </c>
    </row>
    <row r="2" spans="1:22" x14ac:dyDescent="0.2">
      <c r="A2" s="25">
        <v>0</v>
      </c>
      <c r="B2" s="25">
        <v>1.1255789999999999</v>
      </c>
      <c r="C2" s="25">
        <v>0</v>
      </c>
      <c r="D2" s="25">
        <v>0</v>
      </c>
      <c r="E2" s="25">
        <v>0</v>
      </c>
      <c r="F2" s="28">
        <v>4.0747786449340423E-6</v>
      </c>
      <c r="G2" s="28">
        <v>9.0408428677257383E-6</v>
      </c>
      <c r="H2" s="28">
        <v>1.8764380241433807E-5</v>
      </c>
      <c r="I2" s="28">
        <v>6.5660812772133526E-6</v>
      </c>
      <c r="J2" s="28">
        <v>2.4887041359246922E-6</v>
      </c>
      <c r="K2" s="28">
        <v>3.4368271751229848E-6</v>
      </c>
      <c r="L2" s="28">
        <v>6.8660016679527039E-6</v>
      </c>
      <c r="M2" s="25">
        <v>0</v>
      </c>
      <c r="N2" s="25">
        <v>9.5057236616171254E-7</v>
      </c>
      <c r="O2" s="27">
        <v>4.4995573277573804E-6</v>
      </c>
      <c r="P2" s="27">
        <v>6.7412898718319366E-6</v>
      </c>
      <c r="Q2" s="27">
        <v>9.087720262432253E-6</v>
      </c>
      <c r="R2" s="27">
        <v>3.1818791669732866E-6</v>
      </c>
      <c r="S2" s="27">
        <v>2.2543692332040829E-6</v>
      </c>
      <c r="T2" s="27">
        <v>2.1883855657150831E-6</v>
      </c>
      <c r="U2" s="27">
        <v>3.1120767309981101E-6</v>
      </c>
      <c r="V2" s="27">
        <v>2500</v>
      </c>
    </row>
    <row r="3" spans="1:22" x14ac:dyDescent="0.2">
      <c r="A3" s="25">
        <v>3091.7099999999996</v>
      </c>
      <c r="B3" s="25">
        <v>1.1255789999999999</v>
      </c>
      <c r="C3" s="25">
        <v>0</v>
      </c>
      <c r="D3" s="25">
        <v>0</v>
      </c>
      <c r="E3" s="25">
        <v>0</v>
      </c>
      <c r="F3" s="28">
        <v>1.4917494302092688E-6</v>
      </c>
      <c r="G3" s="28">
        <v>8.9832578813071054E-6</v>
      </c>
      <c r="H3" s="28">
        <v>7.1640520528598815E-6</v>
      </c>
      <c r="I3" s="28">
        <v>4.0202503628447023E-6</v>
      </c>
      <c r="J3" s="28">
        <v>2.8745497383936374E-6</v>
      </c>
      <c r="K3" s="28">
        <v>3.3621135408811806E-6</v>
      </c>
      <c r="L3" s="28">
        <v>0</v>
      </c>
      <c r="M3" s="25">
        <v>0</v>
      </c>
      <c r="N3" s="25">
        <v>7.2469378410348374E-7</v>
      </c>
      <c r="O3" s="27">
        <v>4.1728259865301852E-6</v>
      </c>
      <c r="P3" s="27">
        <v>7.3372477594680551E-6</v>
      </c>
      <c r="Q3" s="25">
        <v>6.5584518398782921E-6</v>
      </c>
      <c r="R3" s="25">
        <v>4.7679534917948337E-7</v>
      </c>
      <c r="S3" s="25">
        <v>0</v>
      </c>
      <c r="T3" s="25">
        <v>2.655241153067634E-6</v>
      </c>
      <c r="U3" s="27">
        <v>3.2083265268021755E-6</v>
      </c>
      <c r="V3" s="27">
        <v>2500</v>
      </c>
    </row>
    <row r="4" spans="1:22" x14ac:dyDescent="0.2">
      <c r="A4" s="25">
        <v>6183.4199999999992</v>
      </c>
      <c r="B4" s="25">
        <v>1.1255789999999999</v>
      </c>
      <c r="C4" s="25">
        <v>0</v>
      </c>
      <c r="D4" s="25">
        <v>0</v>
      </c>
      <c r="E4" s="25">
        <v>0</v>
      </c>
      <c r="F4" s="28">
        <v>8.3097451481455907E-6</v>
      </c>
      <c r="G4" s="28">
        <v>1.2361577084533711E-5</v>
      </c>
      <c r="H4" s="28">
        <v>2.6151702209220216E-5</v>
      </c>
      <c r="I4" s="28">
        <v>9.3379898403483302E-6</v>
      </c>
      <c r="J4" s="28">
        <v>2.4115350154309036E-6</v>
      </c>
      <c r="K4" s="28">
        <v>3.683382168120938E-6</v>
      </c>
      <c r="L4" s="28">
        <v>1.3712716814366216E-5</v>
      </c>
      <c r="M4" s="25">
        <v>0</v>
      </c>
      <c r="N4" s="27">
        <v>8.8469111306139573E-7</v>
      </c>
      <c r="O4" s="27">
        <v>6.861358165771109E-6</v>
      </c>
      <c r="P4" s="27">
        <v>7.6003979955671205E-6</v>
      </c>
      <c r="Q4" s="27">
        <v>3.5762679090995528E-5</v>
      </c>
      <c r="R4" s="27">
        <v>9.3218356023254085E-6</v>
      </c>
      <c r="S4" s="27">
        <v>9.4517201867531849E-6</v>
      </c>
      <c r="T4" s="27">
        <v>5.9426825806751808E-6</v>
      </c>
      <c r="U4" s="27">
        <v>5.0771767286644412E-6</v>
      </c>
      <c r="V4" s="27">
        <v>5000</v>
      </c>
    </row>
    <row r="5" spans="1:22" x14ac:dyDescent="0.2">
      <c r="A5" s="25">
        <v>6183.4199999999992</v>
      </c>
      <c r="B5" s="25">
        <v>1.1255789999999999</v>
      </c>
      <c r="C5" s="25">
        <v>0</v>
      </c>
      <c r="D5" s="25">
        <v>0</v>
      </c>
      <c r="E5" s="25">
        <v>0</v>
      </c>
      <c r="F5" s="28">
        <v>4.7455653014710962E-6</v>
      </c>
      <c r="G5" s="28">
        <v>1.3609251790270806E-5</v>
      </c>
      <c r="H5" s="28">
        <v>9.6685580550791892E-6</v>
      </c>
      <c r="I5" s="28">
        <v>5.6716001451378809E-6</v>
      </c>
      <c r="J5" s="28">
        <v>2.2571967744433257E-6</v>
      </c>
      <c r="K5" s="28">
        <v>3.4816553556680667E-6</v>
      </c>
      <c r="L5" s="28">
        <v>4.4358999540143875E-6</v>
      </c>
      <c r="M5" s="25">
        <v>1.8844136819746576E-6</v>
      </c>
      <c r="N5" s="27">
        <v>8.2822146754683856E-7</v>
      </c>
      <c r="O5" s="27">
        <v>7.6828541094280591E-6</v>
      </c>
      <c r="P5" s="27">
        <v>6.7103310205261644E-6</v>
      </c>
      <c r="Q5" s="27">
        <v>3.0547288390225347E-5</v>
      </c>
      <c r="R5" s="27">
        <v>6.422141437927735E-6</v>
      </c>
      <c r="S5" s="27">
        <v>3.6864480493788076E-6</v>
      </c>
      <c r="T5" s="27">
        <v>3.0540136339312713E-6</v>
      </c>
      <c r="U5" s="27">
        <v>4.0505122400877458E-6</v>
      </c>
      <c r="V5" s="27">
        <v>5000</v>
      </c>
    </row>
    <row r="6" spans="1:22" x14ac:dyDescent="0.2">
      <c r="A6" s="25">
        <v>9275.1299999999992</v>
      </c>
      <c r="B6" s="25">
        <v>1.1255789999999999</v>
      </c>
      <c r="C6" s="25">
        <v>0</v>
      </c>
      <c r="D6" s="25">
        <v>0</v>
      </c>
      <c r="E6" s="25">
        <v>0</v>
      </c>
      <c r="F6" s="28">
        <v>1.4707247738103461E-5</v>
      </c>
      <c r="G6" s="28">
        <v>1.1363437319944029E-5</v>
      </c>
      <c r="H6" s="28">
        <v>3.2519748478429007E-5</v>
      </c>
      <c r="I6" s="28">
        <v>9.3576487663280119E-6</v>
      </c>
      <c r="J6" s="28">
        <v>2.3633043151222853E-6</v>
      </c>
      <c r="K6" s="28">
        <v>3.4069417214262625E-6</v>
      </c>
      <c r="L6" s="28">
        <v>1.4156306809767657E-5</v>
      </c>
      <c r="M6" s="25">
        <v>4.1722181205595846E-4</v>
      </c>
      <c r="N6" s="27">
        <v>1.0729232647765863E-6</v>
      </c>
      <c r="O6" s="27">
        <v>4.6395850454261781E-6</v>
      </c>
      <c r="P6" s="27">
        <v>5.3326621374192923E-6</v>
      </c>
      <c r="Q6" s="27">
        <v>8.0995409717600077E-5</v>
      </c>
      <c r="R6" s="27">
        <v>2.0862229155934945E-5</v>
      </c>
      <c r="S6" s="27">
        <v>1.6307220068054127E-5</v>
      </c>
      <c r="T6" s="27">
        <v>7.5669509783392642E-6</v>
      </c>
      <c r="U6" s="27">
        <v>0</v>
      </c>
      <c r="V6" s="27">
        <v>7500</v>
      </c>
    </row>
    <row r="7" spans="1:22" x14ac:dyDescent="0.2">
      <c r="A7" s="25">
        <v>9275.1299999999992</v>
      </c>
      <c r="B7" s="25">
        <v>1.1255789999999999</v>
      </c>
      <c r="C7" s="25">
        <v>0</v>
      </c>
      <c r="D7" s="25">
        <v>0</v>
      </c>
      <c r="E7" s="25">
        <v>0</v>
      </c>
      <c r="F7" s="28">
        <v>1.2234347675944473E-5</v>
      </c>
      <c r="G7" s="28">
        <v>1.5336801382829864E-5</v>
      </c>
      <c r="H7" s="28">
        <v>1.2910825515316587E-5</v>
      </c>
      <c r="I7" s="28">
        <v>7.873399854862119E-6</v>
      </c>
      <c r="J7" s="28">
        <v>2.797380617899848E-6</v>
      </c>
      <c r="K7" s="28">
        <v>3.4442985385471648E-6</v>
      </c>
      <c r="L7" s="28">
        <v>9.488968597282951E-6</v>
      </c>
      <c r="M7" s="25">
        <v>3.393747894235699E-4</v>
      </c>
      <c r="N7" s="27">
        <v>1.0070420116762697E-6</v>
      </c>
      <c r="O7" s="27">
        <v>7.6175078411826206E-6</v>
      </c>
      <c r="P7" s="27">
        <v>9.3263539558639288E-6</v>
      </c>
      <c r="Q7" s="27">
        <v>7.4378137681848451E-5</v>
      </c>
      <c r="R7" s="27">
        <v>1.7407895503716239E-5</v>
      </c>
      <c r="S7" s="27">
        <v>9.9044418770277748E-6</v>
      </c>
      <c r="T7" s="27">
        <v>7.2751662362439202E-6</v>
      </c>
      <c r="U7" s="27">
        <v>4.4836363212060404E-6</v>
      </c>
      <c r="V7" s="27">
        <v>7500</v>
      </c>
    </row>
    <row r="8" spans="1:22" x14ac:dyDescent="0.2">
      <c r="A8" s="25">
        <v>12366.839999999998</v>
      </c>
      <c r="B8" s="25">
        <v>1.1255789999999999</v>
      </c>
      <c r="C8" s="25">
        <v>0</v>
      </c>
      <c r="D8" s="25">
        <v>0</v>
      </c>
      <c r="E8" s="25">
        <v>0</v>
      </c>
      <c r="F8" s="28">
        <v>2.4318519234753782E-5</v>
      </c>
      <c r="G8" s="28">
        <v>1.307179191703021E-5</v>
      </c>
      <c r="H8" s="28">
        <v>2.3724855307844916E-5</v>
      </c>
      <c r="I8" s="28">
        <v>1.0183323657474598E-5</v>
      </c>
      <c r="J8" s="28">
        <v>3.0867648197515573E-6</v>
      </c>
      <c r="K8" s="28">
        <v>3.5787830801824119E-6</v>
      </c>
      <c r="L8" s="28">
        <v>1.6152461789074133E-5</v>
      </c>
      <c r="M8" s="25">
        <v>4.8417710393320152E-5</v>
      </c>
      <c r="N8" s="27">
        <v>1.6658545426794367E-6</v>
      </c>
      <c r="O8" s="27">
        <v>6.4226046504088762E-6</v>
      </c>
      <c r="P8" s="27">
        <v>8.8619711862773443E-6</v>
      </c>
      <c r="Q8" s="27">
        <v>1.3560996158600361E-4</v>
      </c>
      <c r="R8" s="27">
        <v>3.6995426889395836E-5</v>
      </c>
      <c r="S8" s="27">
        <v>2.4788822347076042E-5</v>
      </c>
      <c r="T8" s="27">
        <v>1.1681115841883621E-5</v>
      </c>
      <c r="U8" s="27">
        <v>4.7322816270332079E-6</v>
      </c>
      <c r="V8" s="27">
        <v>10000</v>
      </c>
    </row>
    <row r="9" spans="1:22" x14ac:dyDescent="0.2">
      <c r="A9" s="25">
        <v>12366.839999999998</v>
      </c>
      <c r="B9" s="25">
        <v>1.1255789999999999</v>
      </c>
      <c r="C9" s="25">
        <v>0</v>
      </c>
      <c r="D9" s="25">
        <v>0</v>
      </c>
      <c r="E9" s="25">
        <v>0</v>
      </c>
      <c r="F9" s="28">
        <v>1.8111239726500447E-5</v>
      </c>
      <c r="G9" s="28">
        <v>1.163216725656433E-5</v>
      </c>
      <c r="H9" s="28">
        <v>1.3134095430243118E-5</v>
      </c>
      <c r="I9" s="28">
        <v>8.5123149492017392E-6</v>
      </c>
      <c r="J9" s="28">
        <v>3.1060570998750042E-6</v>
      </c>
      <c r="K9" s="28">
        <v>3.9523512513914325E-6</v>
      </c>
      <c r="L9" s="28">
        <v>1.2526595739705849E-5</v>
      </c>
      <c r="M9" s="25">
        <v>4.2259554676627854E-5</v>
      </c>
      <c r="N9" s="27">
        <v>1.2611554164917769E-6</v>
      </c>
      <c r="O9" s="27">
        <v>6.2452362080283976E-6</v>
      </c>
      <c r="P9" s="27">
        <v>9.1328611352028521E-6</v>
      </c>
      <c r="Q9" s="27">
        <v>1.2367926518969284E-4</v>
      </c>
      <c r="R9" s="27">
        <v>3.1137655456619323E-5</v>
      </c>
      <c r="S9" s="27">
        <v>1.520775310595869E-5</v>
      </c>
      <c r="T9" s="27">
        <v>8.6465545240920396E-6</v>
      </c>
      <c r="U9" s="27">
        <v>4.7884273412522453E-6</v>
      </c>
      <c r="V9" s="27">
        <v>10000</v>
      </c>
    </row>
    <row r="10" spans="1:22" x14ac:dyDescent="0.2">
      <c r="A10" s="25">
        <v>18550.259999999998</v>
      </c>
      <c r="B10" s="25">
        <v>1.1255789999999999</v>
      </c>
      <c r="C10" s="25">
        <v>0</v>
      </c>
      <c r="D10" s="25">
        <v>0</v>
      </c>
      <c r="E10" s="25">
        <v>0</v>
      </c>
      <c r="F10" s="28">
        <v>4.9137625526624768E-5</v>
      </c>
      <c r="G10" s="28">
        <v>1.8916668038521687E-5</v>
      </c>
      <c r="H10" s="28">
        <v>3.0034657251420691E-5</v>
      </c>
      <c r="I10" s="28">
        <v>1.6277590711175612E-5</v>
      </c>
      <c r="J10" s="28">
        <v>2.74914991759123E-6</v>
      </c>
      <c r="K10" s="28">
        <v>3.6609680778483966E-6</v>
      </c>
      <c r="L10" s="28">
        <v>3.2912449006632838E-5</v>
      </c>
      <c r="M10" s="25">
        <v>1.30971259063942E-4</v>
      </c>
      <c r="N10" s="27">
        <v>2.1929045674819706E-6</v>
      </c>
      <c r="O10" s="27">
        <v>1.07541287169637E-5</v>
      </c>
      <c r="P10" s="27">
        <v>1.2793745302110436E-5</v>
      </c>
      <c r="Q10" s="27">
        <v>2.8105269924883522E-4</v>
      </c>
      <c r="R10" s="27">
        <v>8.5142026639193448E-5</v>
      </c>
      <c r="S10" s="27">
        <v>4.8376546332199084E-5</v>
      </c>
      <c r="T10" s="27">
        <v>1.8829842023219557E-5</v>
      </c>
      <c r="U10" s="27">
        <v>6.5931110125784695E-6</v>
      </c>
      <c r="V10" s="27">
        <v>15000</v>
      </c>
    </row>
    <row r="11" spans="1:22" x14ac:dyDescent="0.2">
      <c r="A11" s="25">
        <v>18550.259999999998</v>
      </c>
      <c r="B11" s="25">
        <v>1.1255789999999999</v>
      </c>
      <c r="C11" s="25">
        <v>0</v>
      </c>
      <c r="D11" s="25">
        <v>0</v>
      </c>
      <c r="E11" s="25">
        <v>0</v>
      </c>
      <c r="F11" s="28">
        <v>3.801458111748049E-5</v>
      </c>
      <c r="G11" s="28">
        <v>3.2785052267676365E-5</v>
      </c>
      <c r="H11" s="28">
        <v>2.4375250277413499E-5</v>
      </c>
      <c r="I11" s="28">
        <v>1.525532656023222E-5</v>
      </c>
      <c r="J11" s="28">
        <v>3.270041480924305E-6</v>
      </c>
      <c r="K11" s="28">
        <v>3.6310826241516747E-6</v>
      </c>
      <c r="L11" s="28">
        <v>2.3616345624741821E-5</v>
      </c>
      <c r="M11" s="25">
        <v>1.3070978539515124E-4</v>
      </c>
      <c r="N11" s="27">
        <v>1.6470313275079177E-6</v>
      </c>
      <c r="O11" s="27">
        <v>1.2779863032572313E-5</v>
      </c>
      <c r="P11" s="27">
        <v>9.6282027560952097E-6</v>
      </c>
      <c r="Q11" s="27">
        <v>2.7604317923362177E-4</v>
      </c>
      <c r="R11" s="27">
        <v>7.5596389138273592E-5</v>
      </c>
      <c r="S11" s="27">
        <v>3.9562332199097886E-5</v>
      </c>
      <c r="T11" s="27">
        <v>1.4229369256182962E-5</v>
      </c>
      <c r="U11" s="27">
        <v>5.0611350960304305E-6</v>
      </c>
      <c r="V11" s="27">
        <v>15000</v>
      </c>
    </row>
    <row r="12" spans="1:22" x14ac:dyDescent="0.2">
      <c r="A12" s="25">
        <v>24733.679999999997</v>
      </c>
      <c r="B12" s="25">
        <v>1.1255789999999999</v>
      </c>
      <c r="C12" s="25">
        <v>0</v>
      </c>
      <c r="D12" s="25">
        <v>0</v>
      </c>
      <c r="E12" s="25">
        <v>0</v>
      </c>
      <c r="F12" s="28">
        <v>8.5760574625319433E-5</v>
      </c>
      <c r="G12" s="28">
        <v>2.5433369001563916E-5</v>
      </c>
      <c r="H12" s="28">
        <v>5.024543824607418E-5</v>
      </c>
      <c r="I12" s="28">
        <v>2.5084789550072568E-5</v>
      </c>
      <c r="J12" s="28">
        <v>4.7941316106766358E-6</v>
      </c>
      <c r="K12" s="28">
        <v>4.7816725914754571E-6</v>
      </c>
      <c r="L12" s="28">
        <v>5.0684978604999185E-5</v>
      </c>
      <c r="M12" s="25">
        <v>2.4179101296418375E-4</v>
      </c>
      <c r="N12" s="27">
        <v>3.181123363986721E-6</v>
      </c>
      <c r="O12" s="27">
        <v>1.6812661301433702E-5</v>
      </c>
      <c r="P12" s="27">
        <v>1.2863402717548423E-5</v>
      </c>
      <c r="Q12" s="27">
        <v>4.5240573319387656E-4</v>
      </c>
      <c r="R12" s="27">
        <v>1.4907152549856501E-4</v>
      </c>
      <c r="S12" s="27">
        <v>7.9632821397483585E-5</v>
      </c>
      <c r="T12" s="27">
        <v>2.7622288918359276E-5</v>
      </c>
      <c r="U12" s="27">
        <v>9.9137289678187219E-6</v>
      </c>
      <c r="V12" s="27">
        <v>20000</v>
      </c>
    </row>
    <row r="13" spans="1:22" x14ac:dyDescent="0.2">
      <c r="A13" s="25">
        <v>24733.679999999997</v>
      </c>
      <c r="B13" s="25">
        <v>1.1255789999999999</v>
      </c>
      <c r="C13" s="25">
        <v>0</v>
      </c>
      <c r="D13" s="25">
        <v>0</v>
      </c>
      <c r="E13" s="25">
        <v>0</v>
      </c>
      <c r="F13" s="28">
        <v>6.7238853511982874E-5</v>
      </c>
      <c r="G13" s="28">
        <v>1.8734315581529347E-5</v>
      </c>
      <c r="H13" s="28">
        <v>3.3131313897575581E-5</v>
      </c>
      <c r="I13" s="28">
        <v>1.6818211175616836E-5</v>
      </c>
      <c r="J13" s="28">
        <v>4.2153632069732197E-6</v>
      </c>
      <c r="K13" s="28">
        <v>3.8477521634529069E-6</v>
      </c>
      <c r="L13" s="28">
        <v>3.4445727468998682E-5</v>
      </c>
      <c r="M13" s="25">
        <v>1.9963063795502823E-4</v>
      </c>
      <c r="N13" s="27">
        <v>2.3152554660968444E-6</v>
      </c>
      <c r="O13" s="27">
        <v>1.1276898862927212E-5</v>
      </c>
      <c r="P13" s="27">
        <v>8.1731367447239083E-6</v>
      </c>
      <c r="Q13" s="27">
        <v>4.3614194903489583E-4</v>
      </c>
      <c r="R13" s="27">
        <v>1.302818965339613E-4</v>
      </c>
      <c r="S13" s="27">
        <v>7.17055722085938E-5</v>
      </c>
      <c r="T13" s="27">
        <v>2.0317944207905813E-5</v>
      </c>
      <c r="U13" s="27">
        <v>7.0021726447457464E-6</v>
      </c>
      <c r="V13" s="27">
        <v>20000</v>
      </c>
    </row>
    <row r="14" spans="1:22" x14ac:dyDescent="0.2">
      <c r="A14" s="25">
        <v>30917.1</v>
      </c>
      <c r="B14" s="25">
        <v>1.1255789999999999</v>
      </c>
      <c r="C14" s="25">
        <v>0</v>
      </c>
      <c r="D14" s="25">
        <v>0</v>
      </c>
      <c r="E14" s="25">
        <v>0</v>
      </c>
      <c r="F14" s="28">
        <v>1.2214324193659783E-4</v>
      </c>
      <c r="G14" s="28">
        <v>3.109589266606305E-5</v>
      </c>
      <c r="H14" s="28">
        <v>6.4563834964188432E-5</v>
      </c>
      <c r="I14" s="28">
        <v>2.934094702467344E-5</v>
      </c>
      <c r="J14" s="28">
        <v>5.6719303562934853E-6</v>
      </c>
      <c r="K14" s="28">
        <v>4.4828180545082402E-6</v>
      </c>
      <c r="L14" s="28">
        <v>6.5554886711716967E-5</v>
      </c>
      <c r="M14" s="25">
        <v>3.3363138504358022E-4</v>
      </c>
      <c r="N14" s="27">
        <v>3.7458198191322928E-6</v>
      </c>
      <c r="O14" s="27">
        <v>1.6644628040231144E-5</v>
      </c>
      <c r="P14" s="27">
        <v>1.2654430471234458E-5</v>
      </c>
      <c r="Q14" s="27">
        <v>5.4794933802415136E-4</v>
      </c>
      <c r="R14" s="27">
        <v>2.1135656692913382E-4</v>
      </c>
      <c r="S14" s="27">
        <v>1.1160975547993985E-4</v>
      </c>
      <c r="T14" s="27">
        <v>3.3389900653777241E-5</v>
      </c>
      <c r="U14" s="27">
        <v>9.3843550908963623E-6</v>
      </c>
      <c r="V14" s="27">
        <v>25000</v>
      </c>
    </row>
    <row r="15" spans="1:22" x14ac:dyDescent="0.2">
      <c r="A15" s="25">
        <v>30917.1</v>
      </c>
      <c r="B15" s="25">
        <v>1.1255789999999999</v>
      </c>
      <c r="C15" s="25">
        <v>0</v>
      </c>
      <c r="D15" s="25">
        <v>0</v>
      </c>
      <c r="E15" s="25">
        <v>0</v>
      </c>
      <c r="F15" s="28">
        <v>1.1002903515436149E-4</v>
      </c>
      <c r="G15" s="28">
        <v>2.3581051938431149E-5</v>
      </c>
      <c r="H15" s="28">
        <v>4.4984034163892528E-5</v>
      </c>
      <c r="I15" s="28">
        <v>2.4367238751814216E-5</v>
      </c>
      <c r="J15" s="28">
        <v>5.9516684180834706E-6</v>
      </c>
      <c r="K15" s="28">
        <v>4.0270648856332363E-6</v>
      </c>
      <c r="L15" s="28">
        <v>5.1302147294253357E-5</v>
      </c>
      <c r="M15" s="25">
        <v>3.113700578627408E-4</v>
      </c>
      <c r="N15" s="27">
        <v>3.3317090853588735E-6</v>
      </c>
      <c r="O15" s="27">
        <v>1.5085652783518523E-5</v>
      </c>
      <c r="P15" s="27">
        <v>0</v>
      </c>
      <c r="Q15" s="27">
        <v>5.4381231758105918E-4</v>
      </c>
      <c r="R15" s="27">
        <v>1.9282966193244532E-4</v>
      </c>
      <c r="S15" s="27">
        <v>1.0737819355859777E-4</v>
      </c>
      <c r="T15" s="27">
        <v>2.6007746678765032E-5</v>
      </c>
      <c r="U15" s="27">
        <v>1.1317371823294671E-5</v>
      </c>
      <c r="V15" s="27">
        <v>25000</v>
      </c>
    </row>
    <row r="16" spans="1:22" x14ac:dyDescent="0.2">
      <c r="A16" s="25">
        <v>37100.519999999997</v>
      </c>
      <c r="B16" s="25">
        <v>1.1255789999999999</v>
      </c>
      <c r="C16" s="25">
        <v>0</v>
      </c>
      <c r="D16" s="25">
        <v>0</v>
      </c>
      <c r="E16" s="25">
        <v>0</v>
      </c>
      <c r="F16" s="28">
        <v>1.6186983078941917E-4</v>
      </c>
      <c r="G16" s="28">
        <v>3.1220660136636763E-5</v>
      </c>
      <c r="H16" s="28">
        <v>8.282343105013618E-5</v>
      </c>
      <c r="I16" s="28">
        <v>3.8610130624092886E-5</v>
      </c>
      <c r="J16" s="28">
        <v>5.8455608774045106E-6</v>
      </c>
      <c r="K16" s="28">
        <v>4.1914348809652056E-6</v>
      </c>
      <c r="L16" s="28">
        <v>8.36360006547104E-5</v>
      </c>
      <c r="M16" s="25">
        <v>4.0967514099465326E-4</v>
      </c>
      <c r="N16" s="27">
        <v>5.2516770328538174E-6</v>
      </c>
      <c r="O16" s="27">
        <v>1.9081110327668231E-5</v>
      </c>
      <c r="P16" s="27">
        <v>1.3885044810638913E-5</v>
      </c>
      <c r="Q16" s="27">
        <v>6.1389658096415326E-4</v>
      </c>
      <c r="R16" s="27">
        <v>2.8183470395172565E-4</v>
      </c>
      <c r="S16" s="27">
        <v>1.4954598528131677E-4</v>
      </c>
      <c r="T16" s="27">
        <v>4.2970166352574386E-5</v>
      </c>
      <c r="U16" s="27">
        <v>1.2504452638211476E-5</v>
      </c>
      <c r="V16" s="27">
        <v>30000</v>
      </c>
    </row>
    <row r="17" spans="1:22" x14ac:dyDescent="0.2">
      <c r="A17" s="25">
        <v>37100.519999999997</v>
      </c>
      <c r="B17" s="25">
        <v>1.1255789999999999</v>
      </c>
      <c r="C17" s="25">
        <v>0</v>
      </c>
      <c r="D17" s="25">
        <v>0</v>
      </c>
      <c r="E17" s="25">
        <v>0</v>
      </c>
      <c r="F17" s="28">
        <v>1.5524205815318739E-4</v>
      </c>
      <c r="G17" s="28">
        <v>3.2986599720141575E-5</v>
      </c>
      <c r="H17" s="28">
        <v>6.5321011197417539E-5</v>
      </c>
      <c r="I17" s="28">
        <v>3.1867119013062404E-5</v>
      </c>
      <c r="J17" s="28">
        <v>3.6944716436401444E-6</v>
      </c>
      <c r="K17" s="28">
        <v>4.3558048762971732E-6</v>
      </c>
      <c r="L17" s="28">
        <v>7.3134489676619831E-5</v>
      </c>
      <c r="M17" s="25">
        <v>4.059964769647697E-4</v>
      </c>
      <c r="N17" s="27">
        <v>4.4422787804784977E-6</v>
      </c>
      <c r="O17" s="27">
        <v>1.673797985201034E-5</v>
      </c>
      <c r="P17" s="27">
        <v>1.2089431434904116E-5</v>
      </c>
      <c r="Q17" s="27">
        <v>6.2824870875725013E-4</v>
      </c>
      <c r="R17" s="27">
        <v>2.678422200309073E-4</v>
      </c>
      <c r="S17" s="27">
        <v>1.608732667563504E-4</v>
      </c>
      <c r="T17" s="27">
        <v>3.7893111840115393E-5</v>
      </c>
      <c r="U17" s="27">
        <v>1.0483206926326107E-5</v>
      </c>
      <c r="V17" s="27">
        <v>30000</v>
      </c>
    </row>
    <row r="18" spans="1:22" x14ac:dyDescent="0.2">
      <c r="A18" s="25">
        <v>43283.939999999995</v>
      </c>
      <c r="B18" s="25">
        <v>1.1255789999999999</v>
      </c>
      <c r="C18" s="25">
        <v>0</v>
      </c>
      <c r="D18" s="25">
        <v>0</v>
      </c>
      <c r="E18" s="25">
        <v>0</v>
      </c>
      <c r="F18" s="28">
        <v>2.1155810207887284E-4</v>
      </c>
      <c r="G18" s="28">
        <v>3.8236430981973828E-5</v>
      </c>
      <c r="H18" s="28">
        <v>9.1666861158747786E-5</v>
      </c>
      <c r="I18" s="28">
        <v>4.4959963715529749E-5</v>
      </c>
      <c r="J18" s="28">
        <v>7.4854046878975247E-6</v>
      </c>
      <c r="K18" s="28">
        <v>4.9012144062623428E-6</v>
      </c>
      <c r="L18" s="28">
        <v>9.7425863555233394E-5</v>
      </c>
      <c r="M18" s="25">
        <v>4.5135765033326022E-4</v>
      </c>
      <c r="N18" s="27">
        <v>6.3528351203876818E-6</v>
      </c>
      <c r="O18" s="27">
        <v>2.0910805838540524E-5</v>
      </c>
      <c r="P18" s="27">
        <v>1.3490319456490315E-5</v>
      </c>
      <c r="Q18" s="27">
        <v>5.8472176381097276E-4</v>
      </c>
      <c r="R18" s="27">
        <v>3.1736082272426224E-4</v>
      </c>
      <c r="S18" s="27">
        <v>1.9600077423439106E-4</v>
      </c>
      <c r="T18" s="27">
        <v>5.459292524603894E-5</v>
      </c>
      <c r="U18" s="27">
        <v>1.4573823247998877E-5</v>
      </c>
      <c r="V18" s="27">
        <v>35000</v>
      </c>
    </row>
    <row r="19" spans="1:22" x14ac:dyDescent="0.2">
      <c r="A19" s="25">
        <v>43283.939999999995</v>
      </c>
      <c r="B19" s="25">
        <v>1.1255789999999999</v>
      </c>
      <c r="C19" s="25">
        <v>0</v>
      </c>
      <c r="D19" s="25">
        <v>0</v>
      </c>
      <c r="E19" s="25">
        <v>0</v>
      </c>
      <c r="F19" s="28">
        <v>2.2287136956972167E-4</v>
      </c>
      <c r="G19" s="28">
        <v>3.757420363815952E-5</v>
      </c>
      <c r="H19" s="28">
        <v>9.3103554524361928E-5</v>
      </c>
      <c r="I19" s="28">
        <v>4.5323653846153835E-5</v>
      </c>
      <c r="J19" s="28">
        <v>7.7072659093171679E-6</v>
      </c>
      <c r="K19" s="28">
        <v>4.8190294085963585E-6</v>
      </c>
      <c r="L19" s="28">
        <v>1.0243071589465396E-4</v>
      </c>
      <c r="M19" s="25">
        <v>5.2108095656632251E-4</v>
      </c>
      <c r="N19" s="27">
        <v>5.7693154500705916E-6</v>
      </c>
      <c r="O19" s="27">
        <v>2.0892135476184686E-5</v>
      </c>
      <c r="P19" s="27">
        <v>1.2631211332755132E-5</v>
      </c>
      <c r="Q19" s="27">
        <v>7.0142103242369495E-4</v>
      </c>
      <c r="R19" s="27">
        <v>3.7026564544852459E-4</v>
      </c>
      <c r="S19" s="27">
        <v>2.1280691208356412E-4</v>
      </c>
      <c r="T19" s="27">
        <v>5.3571678648705232E-5</v>
      </c>
      <c r="U19" s="27">
        <v>1.4188824064782619E-5</v>
      </c>
      <c r="V19" s="27">
        <v>35000</v>
      </c>
    </row>
    <row r="20" spans="1:22" x14ac:dyDescent="0.2">
      <c r="A20" s="25">
        <v>49467.359999999993</v>
      </c>
      <c r="B20" s="25">
        <v>1.1255789999999999</v>
      </c>
      <c r="C20" s="25">
        <v>0</v>
      </c>
      <c r="D20" s="25">
        <v>0</v>
      </c>
      <c r="E20" s="25">
        <v>0</v>
      </c>
      <c r="F20" s="28">
        <v>2.5552966917604807E-4</v>
      </c>
      <c r="G20" s="28">
        <v>4.2344160013169808E-5</v>
      </c>
      <c r="H20" s="28">
        <v>1.0581052489996302E-4</v>
      </c>
      <c r="I20" s="28">
        <v>5.1162354862119008E-5</v>
      </c>
      <c r="J20" s="28">
        <v>8.97091025740296E-6</v>
      </c>
      <c r="K20" s="28">
        <v>5.5512230241660379E-6</v>
      </c>
      <c r="L20" s="28">
        <v>1.1597949727593704E-4</v>
      </c>
      <c r="M20" s="25">
        <v>4.6630673112136526E-4</v>
      </c>
      <c r="N20" s="27">
        <v>8.3104494982256655E-6</v>
      </c>
      <c r="O20" s="27">
        <v>2.4066097076677446E-5</v>
      </c>
      <c r="P20" s="27">
        <v>1.4395865857184156E-5</v>
      </c>
      <c r="Q20" s="27">
        <v>6.0080908738233325E-4</v>
      </c>
      <c r="R20" s="27">
        <v>3.73807553756715E-4</v>
      </c>
      <c r="S20" s="27">
        <v>2.2348744828677692E-4</v>
      </c>
      <c r="T20" s="27">
        <v>6.0584238617063345E-5</v>
      </c>
      <c r="U20" s="27">
        <v>1.5897257940304777E-5</v>
      </c>
      <c r="V20" s="27">
        <v>40000</v>
      </c>
    </row>
    <row r="21" spans="1:22" x14ac:dyDescent="0.2">
      <c r="A21" s="25">
        <v>49467.359999999993</v>
      </c>
      <c r="B21" s="25">
        <v>1.1255789999999999</v>
      </c>
      <c r="C21" s="25">
        <v>0</v>
      </c>
      <c r="D21" s="25">
        <v>0</v>
      </c>
      <c r="E21" s="25">
        <v>0</v>
      </c>
      <c r="F21" s="28">
        <v>2.399814351819877E-4</v>
      </c>
      <c r="G21" s="28">
        <v>3.8217235986500954E-5</v>
      </c>
      <c r="H21" s="28">
        <v>9.7161242543461444E-5</v>
      </c>
      <c r="I21" s="28">
        <v>4.4900986937590701E-5</v>
      </c>
      <c r="J21" s="28">
        <v>8.1316960720330078E-6</v>
      </c>
      <c r="K21" s="28">
        <v>4.8937430428381631E-6</v>
      </c>
      <c r="L21" s="28">
        <v>1.0280680306466824E-4</v>
      </c>
      <c r="M21" s="25">
        <v>4.7400667985058231E-4</v>
      </c>
      <c r="N21" s="27">
        <v>7.2845842713778757E-6</v>
      </c>
      <c r="O21" s="27">
        <v>1.976257855365638E-5</v>
      </c>
      <c r="P21" s="27">
        <v>1.282470415341621E-5</v>
      </c>
      <c r="Q21" s="27">
        <v>5.6158582010078912E-4</v>
      </c>
      <c r="R21" s="27">
        <v>3.4794383869306056E-4</v>
      </c>
      <c r="S21" s="27">
        <v>2.1449768900846716E-4</v>
      </c>
      <c r="T21" s="27">
        <v>5.6868846234382635E-5</v>
      </c>
      <c r="U21" s="27">
        <v>1.2969659984597793E-5</v>
      </c>
      <c r="V21" s="27">
        <v>40000</v>
      </c>
    </row>
    <row r="22" spans="1:22" x14ac:dyDescent="0.2">
      <c r="A22" s="25">
        <v>55650.78</v>
      </c>
      <c r="B22" s="25">
        <v>1.1255789999999999</v>
      </c>
      <c r="C22" s="25">
        <v>0</v>
      </c>
      <c r="D22" s="25">
        <v>0</v>
      </c>
      <c r="E22" s="25">
        <v>0</v>
      </c>
      <c r="F22" s="28">
        <v>7.8962602389667791E-5</v>
      </c>
      <c r="G22" s="28">
        <v>2.3206749526710023E-5</v>
      </c>
      <c r="H22" s="28">
        <v>4.7139074212313795E-5</v>
      </c>
      <c r="I22" s="28">
        <v>2.3482587082728592E-5</v>
      </c>
      <c r="J22" s="28">
        <v>3.8391637445659986E-6</v>
      </c>
      <c r="K22" s="28">
        <v>4.4081044202664365E-6</v>
      </c>
      <c r="L22" s="28">
        <v>4.4185420846291136E-5</v>
      </c>
      <c r="M22" s="25">
        <v>2.1559856441807663E-4</v>
      </c>
      <c r="N22" s="27">
        <v>3.2281814019155186E-6</v>
      </c>
      <c r="O22" s="27">
        <v>1.447886600695373E-5</v>
      </c>
      <c r="P22" s="27">
        <v>9.2799156789052726E-6</v>
      </c>
      <c r="Q22" s="27">
        <v>4.3021091261766665E-4</v>
      </c>
      <c r="R22" s="27">
        <v>1.3927289454706011E-4</v>
      </c>
      <c r="S22" s="27">
        <v>8.0612178523383705E-5</v>
      </c>
      <c r="T22" s="27">
        <v>2.4558549126358159E-5</v>
      </c>
      <c r="U22" s="27">
        <v>7.796233460129285E-6</v>
      </c>
      <c r="V22" s="27">
        <v>45000</v>
      </c>
    </row>
    <row r="23" spans="1:22" x14ac:dyDescent="0.2">
      <c r="A23" s="25">
        <v>55650.78</v>
      </c>
      <c r="B23" s="25">
        <v>1.1255789999999999</v>
      </c>
      <c r="C23" s="25">
        <v>0</v>
      </c>
      <c r="D23" s="25">
        <v>0</v>
      </c>
      <c r="E23" s="25">
        <v>0</v>
      </c>
      <c r="F23" s="28">
        <v>3.1082451550521449E-4</v>
      </c>
      <c r="G23" s="28">
        <v>4.1653140176146192E-5</v>
      </c>
      <c r="H23" s="28">
        <v>1.2735121799657014E-4</v>
      </c>
      <c r="I23" s="28">
        <v>5.5428341799709723E-5</v>
      </c>
      <c r="J23" s="28">
        <v>7.7072659093171679E-6</v>
      </c>
      <c r="K23" s="28">
        <v>4.4828180545082402E-6</v>
      </c>
      <c r="L23" s="28">
        <v>1.317848016773057E-4</v>
      </c>
      <c r="M23" s="25">
        <v>5.2756370028565161E-4</v>
      </c>
      <c r="N23" s="27">
        <v>7.246937841034838E-6</v>
      </c>
      <c r="O23" s="27">
        <v>2.2535127363498586E-5</v>
      </c>
      <c r="P23" s="27">
        <v>1.2840183579069097E-5</v>
      </c>
      <c r="Q23" s="27">
        <v>5.9242720947038133E-4</v>
      </c>
      <c r="R23" s="27">
        <v>4.1747811553462352E-4</v>
      </c>
      <c r="S23" s="27">
        <v>2.8672989665268656E-4</v>
      </c>
      <c r="T23" s="27">
        <v>6.5281972964798384E-5</v>
      </c>
      <c r="U23" s="27">
        <v>1.789444120323913E-5</v>
      </c>
      <c r="V23" s="27">
        <v>45000</v>
      </c>
    </row>
    <row r="24" spans="1:22" x14ac:dyDescent="0.2">
      <c r="A24" s="25">
        <v>61834.2</v>
      </c>
      <c r="B24" s="25">
        <v>1.1255789999999999</v>
      </c>
      <c r="C24" s="25">
        <v>0</v>
      </c>
      <c r="D24" s="25">
        <v>0</v>
      </c>
      <c r="E24" s="25">
        <v>0</v>
      </c>
      <c r="F24" s="28">
        <v>3.3749579390841909E-4</v>
      </c>
      <c r="G24" s="28">
        <v>4.9503893324553467E-5</v>
      </c>
      <c r="H24" s="28">
        <v>1.5438629247789098E-4</v>
      </c>
      <c r="I24" s="28">
        <v>6.8000224963715516E-5</v>
      </c>
      <c r="J24" s="28">
        <v>1.0234554605488756E-5</v>
      </c>
      <c r="K24" s="28">
        <v>6.0144475564652232E-6</v>
      </c>
      <c r="L24" s="28">
        <v>1.4709829977942496E-4</v>
      </c>
      <c r="M24" s="25">
        <v>4.7867714055518939E-4</v>
      </c>
      <c r="N24" s="27">
        <v>9.8539531422902262E-6</v>
      </c>
      <c r="O24" s="27">
        <v>2.7221388314814361E-5</v>
      </c>
      <c r="P24" s="27">
        <v>1.5084700298737592E-5</v>
      </c>
      <c r="Q24" s="27">
        <v>5.2076460416468568E-4</v>
      </c>
      <c r="R24" s="27">
        <v>4.0258069350209726E-4</v>
      </c>
      <c r="S24" s="27">
        <v>2.9622781293028411E-4</v>
      </c>
      <c r="T24" s="27">
        <v>7.9287640585374921E-5</v>
      </c>
      <c r="U24" s="27">
        <v>1.5656633450794613E-5</v>
      </c>
      <c r="V24" s="27">
        <v>50000</v>
      </c>
    </row>
    <row r="25" spans="1:22" x14ac:dyDescent="0.2">
      <c r="A25" s="25">
        <v>61834.2</v>
      </c>
      <c r="B25" s="25">
        <v>1.1255789999999999</v>
      </c>
      <c r="C25" s="25">
        <v>0</v>
      </c>
      <c r="D25" s="25">
        <v>0</v>
      </c>
      <c r="E25" s="25">
        <v>0</v>
      </c>
      <c r="F25" s="28">
        <v>3.4570542164514124E-4</v>
      </c>
      <c r="G25" s="28">
        <v>4.8380986089390082E-5</v>
      </c>
      <c r="H25" s="28">
        <v>1.4229088752143649E-4</v>
      </c>
      <c r="I25" s="28">
        <v>6.2584190856313497E-5</v>
      </c>
      <c r="J25" s="28">
        <v>1.011880092474807E-5</v>
      </c>
      <c r="K25" s="28">
        <v>6.0144475564652232E-6</v>
      </c>
      <c r="L25" s="28">
        <v>1.5098453386957231E-4</v>
      </c>
      <c r="M25" s="25">
        <v>5.177088478722626E-4</v>
      </c>
      <c r="N25" s="27">
        <v>1.0672763002251304E-5</v>
      </c>
      <c r="O25" s="27">
        <v>2.9676540964607292E-5</v>
      </c>
      <c r="P25" s="27">
        <v>1.6199218945745399E-5</v>
      </c>
      <c r="Q25" s="27">
        <v>5.6236028601312164E-4</v>
      </c>
      <c r="R25" s="27">
        <v>4.3810681227463385E-4</v>
      </c>
      <c r="S25" s="27">
        <v>2.9002829753897285E-4</v>
      </c>
      <c r="T25" s="27">
        <v>8.0201899443940335E-5</v>
      </c>
      <c r="U25" s="27">
        <v>2.0822039158946117E-5</v>
      </c>
      <c r="V25" s="27">
        <v>50000</v>
      </c>
    </row>
    <row r="26" spans="1:22" x14ac:dyDescent="0.2">
      <c r="A26" s="25">
        <v>74201.039999999994</v>
      </c>
      <c r="B26" s="25">
        <v>1.1255789999999999</v>
      </c>
      <c r="C26" s="25">
        <v>0</v>
      </c>
      <c r="D26" s="25">
        <v>0</v>
      </c>
      <c r="E26" s="25">
        <v>0</v>
      </c>
      <c r="F26" s="28">
        <v>4.053053166655156E-4</v>
      </c>
      <c r="G26" s="28">
        <v>5.6586846654045602E-5</v>
      </c>
      <c r="H26" s="28">
        <v>2.0097204559669122E-4</v>
      </c>
      <c r="I26" s="28">
        <v>8.865192670537009E-5</v>
      </c>
      <c r="J26" s="28">
        <v>1.4131595190425094E-5</v>
      </c>
      <c r="K26" s="28">
        <v>7.3144647922726127E-6</v>
      </c>
      <c r="L26" s="28">
        <v>1.8624029524321709E-4</v>
      </c>
      <c r="M26" s="25">
        <v>4.4591178495568737E-4</v>
      </c>
      <c r="N26" s="27">
        <v>1.3722123860037393E-5</v>
      </c>
      <c r="O26" s="27">
        <v>3.4922912786598261E-5</v>
      </c>
      <c r="P26" s="27">
        <v>1.9596952876553913E-5</v>
      </c>
      <c r="Q26" s="27">
        <v>4.9700124503185327E-4</v>
      </c>
      <c r="R26" s="27">
        <v>4.0240554419015376E-4</v>
      </c>
      <c r="S26" s="27">
        <v>3.2102587449552895E-4</v>
      </c>
      <c r="T26" s="27">
        <v>9.7524186966333945E-5</v>
      </c>
      <c r="U26" s="27">
        <v>2.1824641198571797E-5</v>
      </c>
      <c r="V26" s="27">
        <v>60000</v>
      </c>
    </row>
    <row r="27" spans="1:22" x14ac:dyDescent="0.2">
      <c r="A27" s="25">
        <v>74201.039999999994</v>
      </c>
      <c r="B27" s="25">
        <v>1.1255789999999999</v>
      </c>
      <c r="C27" s="25">
        <v>0</v>
      </c>
      <c r="D27" s="25">
        <v>0</v>
      </c>
      <c r="E27" s="25">
        <v>0</v>
      </c>
      <c r="F27" s="28">
        <v>4.219748656675185E-4</v>
      </c>
      <c r="G27" s="28">
        <v>6.1539155486048239E-5</v>
      </c>
      <c r="H27" s="28">
        <v>1.8647891590167792E-4</v>
      </c>
      <c r="I27" s="28">
        <v>8.2400388243831639E-5</v>
      </c>
      <c r="J27" s="28">
        <v>1.2183074897956926E-5</v>
      </c>
      <c r="K27" s="28">
        <v>7.9794161370246696E-6</v>
      </c>
      <c r="L27" s="28">
        <v>1.8247942354307449E-4</v>
      </c>
      <c r="M27" s="25">
        <v>4.7224849483629974E-4</v>
      </c>
      <c r="N27" s="27">
        <v>1.2244501469073148E-5</v>
      </c>
      <c r="O27" s="27">
        <v>3.6481888043310883E-5</v>
      </c>
      <c r="P27" s="27">
        <v>2.1547360508817577E-5</v>
      </c>
      <c r="Q27" s="27">
        <v>5.1301994504136166E-4</v>
      </c>
      <c r="R27" s="27">
        <v>4.1866523864890714E-4</v>
      </c>
      <c r="S27" s="27">
        <v>3.4432718271741705E-4</v>
      </c>
      <c r="T27" s="27">
        <v>9.8555159721737512E-5</v>
      </c>
      <c r="U27" s="27">
        <v>3.0527226902522691E-5</v>
      </c>
      <c r="V27" s="27">
        <v>60000</v>
      </c>
    </row>
    <row r="28" spans="1:22" x14ac:dyDescent="0.2">
      <c r="A28" s="25">
        <v>86567.87999999999</v>
      </c>
      <c r="B28" s="25">
        <v>1.1255789999999999</v>
      </c>
      <c r="C28" s="25">
        <v>0</v>
      </c>
      <c r="D28" s="25">
        <v>0</v>
      </c>
      <c r="E28" s="25">
        <v>0</v>
      </c>
      <c r="F28" s="28">
        <v>4.7334510946888596E-4</v>
      </c>
      <c r="G28" s="28">
        <v>7.9035393859576929E-5</v>
      </c>
      <c r="H28" s="28">
        <v>2.5630415494804799E-4</v>
      </c>
      <c r="I28" s="28">
        <v>1.141593831640058E-4</v>
      </c>
      <c r="J28" s="28">
        <v>1.8617050319126576E-5</v>
      </c>
      <c r="K28" s="28">
        <v>8.9058652016230385E-6</v>
      </c>
      <c r="L28" s="28">
        <v>2.3505448125891456E-4</v>
      </c>
      <c r="M28" s="25">
        <v>4.2455209111550579E-4</v>
      </c>
      <c r="N28" s="27">
        <v>1.7947935666043423E-5</v>
      </c>
      <c r="O28" s="27">
        <v>4.5527678604715247E-5</v>
      </c>
      <c r="P28" s="27">
        <v>2.6067352799460344E-5</v>
      </c>
      <c r="Q28" s="27">
        <v>4.7759058039364836E-4</v>
      </c>
      <c r="R28" s="27">
        <v>3.870994404297593E-4</v>
      </c>
      <c r="S28" s="27">
        <v>3.3290750906069476E-4</v>
      </c>
      <c r="T28" s="27">
        <v>1.2801569251529743E-4</v>
      </c>
      <c r="U28" s="27">
        <v>3.2692847308114166E-5</v>
      </c>
      <c r="V28" s="27">
        <v>70000</v>
      </c>
    </row>
    <row r="29" spans="1:22" x14ac:dyDescent="0.2">
      <c r="A29" s="25">
        <v>86567.87999999999</v>
      </c>
      <c r="B29" s="25">
        <v>1.1255789999999999</v>
      </c>
      <c r="C29" s="25">
        <v>0</v>
      </c>
      <c r="D29" s="25">
        <v>0</v>
      </c>
      <c r="E29" s="25">
        <v>0</v>
      </c>
      <c r="F29" s="28">
        <v>4.7201354789695423E-4</v>
      </c>
      <c r="G29" s="28">
        <v>7.7547781710428845E-5</v>
      </c>
      <c r="H29" s="28">
        <v>2.3995691422038404E-4</v>
      </c>
      <c r="I29" s="28">
        <v>1.1112207910014513E-4</v>
      </c>
      <c r="J29" s="28">
        <v>1.3996549229560965E-5</v>
      </c>
      <c r="K29" s="28">
        <v>9.8323142662214074E-6</v>
      </c>
      <c r="L29" s="28">
        <v>2.5189161456263002E-4</v>
      </c>
      <c r="M29" s="25">
        <v>4.4627243829195058E-4</v>
      </c>
      <c r="N29" s="27">
        <v>1.4879751593085817E-5</v>
      </c>
      <c r="O29" s="27">
        <v>4.3035185230210636E-5</v>
      </c>
      <c r="P29" s="27">
        <v>2.4952834152452536E-5</v>
      </c>
      <c r="Q29" s="27">
        <v>4.9895211486165251E-4</v>
      </c>
      <c r="R29" s="27">
        <v>4.0042051865479426E-4</v>
      </c>
      <c r="S29" s="27">
        <v>3.4380054728179156E-4</v>
      </c>
      <c r="T29" s="27">
        <v>1.3246054675321653E-4</v>
      </c>
      <c r="U29" s="27">
        <v>3.1313266901589226E-5</v>
      </c>
      <c r="V29" s="27">
        <v>70000</v>
      </c>
    </row>
    <row r="30" spans="1:22" x14ac:dyDescent="0.2">
      <c r="A30" s="25">
        <v>98934.719999999987</v>
      </c>
      <c r="B30" s="25">
        <v>1.1255789999999999</v>
      </c>
      <c r="C30" s="25">
        <v>0</v>
      </c>
      <c r="D30" s="25">
        <v>0</v>
      </c>
      <c r="E30" s="25">
        <v>0</v>
      </c>
      <c r="F30" s="28">
        <v>4.8150467849989635E-4</v>
      </c>
      <c r="G30" s="28">
        <v>9.5869404889291324E-5</v>
      </c>
      <c r="H30" s="28">
        <v>3.0508377766569149E-4</v>
      </c>
      <c r="I30" s="28">
        <v>1.442277104499274E-4</v>
      </c>
      <c r="J30" s="28">
        <v>2.3932073493136287E-5</v>
      </c>
      <c r="K30" s="28">
        <v>1.0078869259219363E-5</v>
      </c>
      <c r="L30" s="28">
        <v>2.7986671405522948E-4</v>
      </c>
      <c r="M30" s="25">
        <v>4.1901606240386731E-4</v>
      </c>
      <c r="N30" s="27">
        <v>2.4874878849162433E-5</v>
      </c>
      <c r="O30" s="27">
        <v>5.5983081523985509E-5</v>
      </c>
      <c r="P30" s="27">
        <v>2.7669473354534062E-5</v>
      </c>
      <c r="Q30" s="27">
        <v>4.682969894456594E-4</v>
      </c>
      <c r="R30" s="27">
        <v>3.6481655574361612E-4</v>
      </c>
      <c r="S30" s="27">
        <v>3.4285814702856681E-4</v>
      </c>
      <c r="T30" s="27">
        <v>1.6429426211581858E-4</v>
      </c>
      <c r="U30" s="27">
        <v>3.5147217101117825E-5</v>
      </c>
      <c r="V30" s="27">
        <v>80000</v>
      </c>
    </row>
    <row r="31" spans="1:22" x14ac:dyDescent="0.2">
      <c r="A31" s="25">
        <v>98934.719999999987</v>
      </c>
      <c r="B31" s="25">
        <v>1.1255789999999999</v>
      </c>
      <c r="C31" s="25">
        <v>0</v>
      </c>
      <c r="D31" s="25">
        <v>0</v>
      </c>
      <c r="E31" s="25">
        <v>0</v>
      </c>
      <c r="F31" s="28">
        <v>6.0968500034532783E-4</v>
      </c>
      <c r="G31" s="28">
        <v>1.1207957856613713E-4</v>
      </c>
      <c r="H31" s="28">
        <v>3.6039647224183729E-4</v>
      </c>
      <c r="I31" s="28">
        <v>1.6715001814223513E-4</v>
      </c>
      <c r="J31" s="28">
        <v>2.3063920887581162E-5</v>
      </c>
      <c r="K31" s="28">
        <v>1.0870833782182483E-5</v>
      </c>
      <c r="L31" s="28">
        <v>3.1426422522038019E-4</v>
      </c>
      <c r="M31" s="25">
        <v>5.2263176591225372E-4</v>
      </c>
      <c r="N31" s="27">
        <v>2.5721923531880795E-5</v>
      </c>
      <c r="O31" s="27">
        <v>6.1126766353019357E-5</v>
      </c>
      <c r="P31" s="27">
        <v>2.7715911631492722E-5</v>
      </c>
      <c r="Q31" s="27">
        <v>6.0492650109346781E-4</v>
      </c>
      <c r="R31" s="27">
        <v>4.6662695856943112E-4</v>
      </c>
      <c r="S31" s="27">
        <v>4.0248806109044867E-4</v>
      </c>
      <c r="T31" s="27">
        <v>1.9356999790605148E-4</v>
      </c>
      <c r="U31" s="27">
        <v>3.4232844040979212E-5</v>
      </c>
      <c r="V31" s="27">
        <v>80000</v>
      </c>
    </row>
    <row r="32" spans="1:22" x14ac:dyDescent="0.2">
      <c r="A32" s="25">
        <v>111301.56</v>
      </c>
      <c r="B32" s="25">
        <v>1.1255789999999999</v>
      </c>
      <c r="C32" s="25">
        <v>0</v>
      </c>
      <c r="D32" s="25">
        <v>0</v>
      </c>
      <c r="E32" s="25">
        <v>0</v>
      </c>
      <c r="F32" s="28">
        <v>5.1214060639546933E-4</v>
      </c>
      <c r="G32" s="28">
        <v>1.1564984772409252E-4</v>
      </c>
      <c r="H32" s="28">
        <v>3.6995824903325597E-4</v>
      </c>
      <c r="I32" s="28">
        <v>1.774512953555878E-4</v>
      </c>
      <c r="J32" s="28">
        <v>2.9218158246960827E-5</v>
      </c>
      <c r="K32" s="28">
        <v>1.2977758267801357E-5</v>
      </c>
      <c r="L32" s="28">
        <v>3.1720541975510712E-4</v>
      </c>
      <c r="M32" s="25">
        <v>4.5117732366512853E-4</v>
      </c>
      <c r="N32" s="27">
        <v>2.9307746022055176E-5</v>
      </c>
      <c r="O32" s="27">
        <v>6.8632252020066941E-5</v>
      </c>
      <c r="P32" s="27">
        <v>2.9426388166136646E-5</v>
      </c>
      <c r="Q32" s="27">
        <v>4.9593267814015398E-4</v>
      </c>
      <c r="R32" s="27">
        <v>3.6687942541761712E-4</v>
      </c>
      <c r="S32" s="27">
        <v>3.4929788209226873E-4</v>
      </c>
      <c r="T32" s="27">
        <v>1.9412438891603263E-4</v>
      </c>
      <c r="U32" s="27">
        <v>3.8868875872208354E-5</v>
      </c>
      <c r="V32" s="27">
        <v>90000</v>
      </c>
    </row>
    <row r="33" spans="1:22" x14ac:dyDescent="0.2">
      <c r="A33" s="25">
        <v>111301.56</v>
      </c>
      <c r="B33" s="25">
        <v>1.1255789999999999</v>
      </c>
      <c r="C33" s="25">
        <v>0</v>
      </c>
      <c r="D33" s="25">
        <v>0</v>
      </c>
      <c r="E33" s="25">
        <v>0</v>
      </c>
      <c r="F33" s="28">
        <v>4.9731321776365768E-4</v>
      </c>
      <c r="G33" s="28">
        <v>1.0896998929953085E-4</v>
      </c>
      <c r="H33" s="28">
        <v>3.5432935498839904E-4</v>
      </c>
      <c r="I33" s="28">
        <v>1.6939113570391869E-4</v>
      </c>
      <c r="J33" s="28">
        <v>2.6256793248011681E-5</v>
      </c>
      <c r="K33" s="28">
        <v>1.3597881432008332E-5</v>
      </c>
      <c r="L33" s="28">
        <v>3.2839160224783909E-4</v>
      </c>
      <c r="M33" s="25">
        <v>4.5137568300007317E-4</v>
      </c>
      <c r="N33" s="27">
        <v>3.693114816652039E-5</v>
      </c>
      <c r="O33" s="27">
        <v>6.4748816650052281E-5</v>
      </c>
      <c r="P33" s="27">
        <v>3.2251383347788375E-5</v>
      </c>
      <c r="Q33" s="27">
        <v>5.2839162289626302E-4</v>
      </c>
      <c r="R33" s="27">
        <v>3.9595421120023543E-4</v>
      </c>
      <c r="S33" s="27">
        <v>3.4995386658225839E-4</v>
      </c>
      <c r="T33" s="27">
        <v>1.8834705102254481E-4</v>
      </c>
      <c r="U33" s="27">
        <v>4.3440741172901445E-5</v>
      </c>
      <c r="V33" s="27">
        <v>90000</v>
      </c>
    </row>
    <row r="34" spans="1:22" x14ac:dyDescent="0.2">
      <c r="A34" s="25">
        <v>123668.4</v>
      </c>
      <c r="B34" s="25">
        <v>1.1255789999999999</v>
      </c>
      <c r="C34" s="25">
        <v>0</v>
      </c>
      <c r="D34" s="25">
        <v>0</v>
      </c>
      <c r="E34" s="25">
        <v>0</v>
      </c>
      <c r="F34" s="28">
        <v>5.052725519718213E-4</v>
      </c>
      <c r="G34" s="28">
        <v>1.3935566713309738E-4</v>
      </c>
      <c r="H34" s="28">
        <v>4.2782398654964859E-4</v>
      </c>
      <c r="I34" s="28">
        <v>2.1047829100145134E-4</v>
      </c>
      <c r="J34" s="28">
        <v>3.662639381436456E-5</v>
      </c>
      <c r="K34" s="28">
        <v>1.5338709109842366E-5</v>
      </c>
      <c r="L34" s="28">
        <v>3.5865215454283284E-4</v>
      </c>
      <c r="M34" s="25">
        <v>4.4638965062623599E-4</v>
      </c>
      <c r="N34" s="27">
        <v>3.9152287556759641E-5</v>
      </c>
      <c r="O34" s="27">
        <v>7.7668707400293374E-5</v>
      </c>
      <c r="P34" s="27">
        <v>3.1980493398862872E-5</v>
      </c>
      <c r="Q34" s="27">
        <v>5.2621527564894932E-4</v>
      </c>
      <c r="R34" s="27">
        <v>3.8326561660166305E-4</v>
      </c>
      <c r="S34" s="27">
        <v>3.4894679180185172E-4</v>
      </c>
      <c r="T34" s="27">
        <v>2.3387519694748841E-4</v>
      </c>
      <c r="U34" s="27">
        <v>4.4892508926279432E-5</v>
      </c>
      <c r="V34" s="27">
        <v>100000</v>
      </c>
    </row>
    <row r="35" spans="1:22" x14ac:dyDescent="0.2">
      <c r="A35" s="25">
        <v>123668.4</v>
      </c>
      <c r="B35" s="25">
        <v>1.1255789999999999</v>
      </c>
      <c r="C35" s="25">
        <v>0</v>
      </c>
      <c r="D35" s="25">
        <v>0</v>
      </c>
      <c r="E35" s="25">
        <v>0</v>
      </c>
      <c r="F35" s="28">
        <v>4.7377561433800675E-4</v>
      </c>
      <c r="G35" s="28">
        <v>1.1615851510412379E-4</v>
      </c>
      <c r="H35" s="28">
        <v>3.6927873190087097E-4</v>
      </c>
      <c r="I35" s="28">
        <v>1.8732007619738747E-4</v>
      </c>
      <c r="J35" s="28">
        <v>2.5031733460172783E-5</v>
      </c>
      <c r="K35" s="28">
        <v>1.286568781643865E-5</v>
      </c>
      <c r="L35" s="28">
        <v>3.29037700719402E-4</v>
      </c>
      <c r="M35" s="25">
        <v>3.9707030689225815E-4</v>
      </c>
      <c r="N35" s="27">
        <v>2.8733637959323844E-5</v>
      </c>
      <c r="O35" s="27">
        <v>6.4963525817144432E-5</v>
      </c>
      <c r="P35" s="27">
        <v>3.1013029295557485E-5</v>
      </c>
      <c r="Q35" s="27">
        <v>4.6066016734810304E-4</v>
      </c>
      <c r="R35" s="27">
        <v>3.3996481448230186E-4</v>
      </c>
      <c r="S35" s="27">
        <v>3.2504493439898714E-4</v>
      </c>
      <c r="T35" s="27">
        <v>2.0669058514227211E-4</v>
      </c>
      <c r="U35" s="27">
        <v>3.8179085668945884E-5</v>
      </c>
      <c r="V35" s="27">
        <v>100000</v>
      </c>
    </row>
    <row r="36" spans="1:22" x14ac:dyDescent="0.2">
      <c r="A36" s="25">
        <v>136035.24</v>
      </c>
      <c r="B36" s="25">
        <v>1.1255789999999999</v>
      </c>
      <c r="C36" s="25">
        <v>0</v>
      </c>
      <c r="D36" s="25">
        <v>0</v>
      </c>
      <c r="E36" s="25">
        <v>0</v>
      </c>
      <c r="F36" s="28">
        <v>5.099179998618689E-4</v>
      </c>
      <c r="G36" s="28">
        <v>1.726397892830686E-4</v>
      </c>
      <c r="H36" s="28">
        <v>4.7534164887857696E-4</v>
      </c>
      <c r="I36" s="28">
        <v>2.6025469158200289E-4</v>
      </c>
      <c r="J36" s="28">
        <v>4.2848154154176295E-5</v>
      </c>
      <c r="K36" s="28">
        <v>1.8454267657725593E-5</v>
      </c>
      <c r="L36" s="28">
        <v>3.9203712332717592E-4</v>
      </c>
      <c r="M36" s="25">
        <v>4.7355586318025353E-4</v>
      </c>
      <c r="N36" s="27">
        <v>4.8065079940473913E-5</v>
      </c>
      <c r="O36" s="27">
        <v>9.9111618565975331E-5</v>
      </c>
      <c r="P36" s="27">
        <v>4.8048137226558734E-5</v>
      </c>
      <c r="Q36" s="27">
        <v>5.5564498031758112E-4</v>
      </c>
      <c r="R36" s="27">
        <v>4.1560985620722648E-4</v>
      </c>
      <c r="S36" s="27">
        <v>3.8720639423913908E-4</v>
      </c>
      <c r="T36" s="27">
        <v>2.9433299550964375E-4</v>
      </c>
      <c r="U36" s="27">
        <v>6.7398919511796695E-5</v>
      </c>
      <c r="V36" s="27">
        <v>110000</v>
      </c>
    </row>
    <row r="37" spans="1:22" x14ac:dyDescent="0.2">
      <c r="A37" s="25">
        <v>136035.24</v>
      </c>
      <c r="B37" s="25">
        <v>1.1255789999999999</v>
      </c>
      <c r="C37" s="25">
        <v>0</v>
      </c>
      <c r="D37" s="25">
        <v>0</v>
      </c>
      <c r="E37" s="25">
        <v>0</v>
      </c>
      <c r="F37" s="28">
        <v>4.4957723599696106E-4</v>
      </c>
      <c r="G37" s="28">
        <v>1.3823275989793398E-4</v>
      </c>
      <c r="H37" s="28">
        <v>4.1598097367093716E-4</v>
      </c>
      <c r="I37" s="28">
        <v>2.099081821480406E-4</v>
      </c>
      <c r="J37" s="28">
        <v>2.9005943165602911E-5</v>
      </c>
      <c r="K37" s="28">
        <v>1.9545086717655931E-5</v>
      </c>
      <c r="L37" s="28">
        <v>3.399152988675069E-4</v>
      </c>
      <c r="M37" s="25">
        <v>4.1720377938914529E-4</v>
      </c>
      <c r="N37" s="27">
        <v>3.790995535543939E-5</v>
      </c>
      <c r="O37" s="27">
        <v>8.3325827194112828E-5</v>
      </c>
      <c r="P37" s="27">
        <v>4.468136214705599E-5</v>
      </c>
      <c r="Q37" s="27">
        <v>4.8554111020252921E-4</v>
      </c>
      <c r="R37" s="27">
        <v>3.4945206887924057E-4</v>
      </c>
      <c r="S37" s="27">
        <v>3.2886997072089892E-4</v>
      </c>
      <c r="T37" s="27">
        <v>2.2683345850492076E-4</v>
      </c>
      <c r="U37" s="27">
        <v>7.4850257870294742E-5</v>
      </c>
      <c r="V37" s="27">
        <v>110000</v>
      </c>
    </row>
    <row r="38" spans="1:22" x14ac:dyDescent="0.2">
      <c r="A38" s="25">
        <v>160768.91999999998</v>
      </c>
      <c r="B38" s="25">
        <v>1.1255789999999999</v>
      </c>
      <c r="C38" s="25">
        <v>0</v>
      </c>
      <c r="D38" s="25">
        <v>0</v>
      </c>
      <c r="E38" s="25">
        <v>0</v>
      </c>
      <c r="F38" s="28">
        <v>4.3144597278817594E-4</v>
      </c>
      <c r="G38" s="28">
        <v>1.6795621038768625E-4</v>
      </c>
      <c r="H38" s="28">
        <v>4.3825942822556241E-4</v>
      </c>
      <c r="I38" s="28">
        <v>2.6045128084179966E-4</v>
      </c>
      <c r="J38" s="28">
        <v>4.2471954691769074E-5</v>
      </c>
      <c r="K38" s="28">
        <v>1.5107096843692768E-5</v>
      </c>
      <c r="L38" s="28">
        <v>3.5918253388516068E-4</v>
      </c>
      <c r="M38" s="25">
        <v>3.9861209990478286E-4</v>
      </c>
      <c r="N38" s="27">
        <v>5.334499179608502E-5</v>
      </c>
      <c r="O38" s="27">
        <v>9.1298071920056396E-5</v>
      </c>
      <c r="P38" s="27">
        <v>3.4077955574828947E-5</v>
      </c>
      <c r="Q38" s="27">
        <v>4.86462626604545E-4</v>
      </c>
      <c r="R38" s="27">
        <v>3.4870281904481564E-4</v>
      </c>
      <c r="S38" s="27">
        <v>3.045708269367729E-4</v>
      </c>
      <c r="T38" s="27">
        <v>2.6912279379260603E-4</v>
      </c>
      <c r="U38" s="27">
        <v>5.1926764836293207E-5</v>
      </c>
      <c r="V38" s="27">
        <v>130000</v>
      </c>
    </row>
    <row r="39" spans="1:22" x14ac:dyDescent="0.2">
      <c r="A39" s="25">
        <v>160768.91999999998</v>
      </c>
      <c r="B39" s="25">
        <v>1.1255789999999999</v>
      </c>
      <c r="C39" s="25">
        <v>0</v>
      </c>
      <c r="D39" s="25">
        <v>0</v>
      </c>
      <c r="E39" s="25">
        <v>0</v>
      </c>
      <c r="F39" s="28">
        <v>4.4506194074176391E-4</v>
      </c>
      <c r="G39" s="28">
        <v>1.57178220429665E-4</v>
      </c>
      <c r="H39" s="28">
        <v>4.492287762197788E-4</v>
      </c>
      <c r="I39" s="28">
        <v>2.5747295355587805E-4</v>
      </c>
      <c r="J39" s="28">
        <v>3.2999445151156483E-5</v>
      </c>
      <c r="K39" s="28">
        <v>1.4031220510610793E-5</v>
      </c>
      <c r="L39" s="28">
        <v>3.6418738622458121E-4</v>
      </c>
      <c r="M39" s="25">
        <v>4.083858053175127E-4</v>
      </c>
      <c r="N39" s="27">
        <v>4.860154157286221E-5</v>
      </c>
      <c r="O39" s="27">
        <v>8.1869538930357344E-5</v>
      </c>
      <c r="P39" s="27">
        <v>3.346651826153994E-5</v>
      </c>
      <c r="Q39" s="27">
        <v>5.0035399619663401E-4</v>
      </c>
      <c r="R39" s="27">
        <v>3.4364295003311502E-4</v>
      </c>
      <c r="S39" s="27">
        <v>2.9471258115058944E-4</v>
      </c>
      <c r="T39" s="27">
        <v>2.6316065889579109E-4</v>
      </c>
      <c r="U39" s="27">
        <v>4.907135422743927E-5</v>
      </c>
      <c r="V39" s="27">
        <v>130000</v>
      </c>
    </row>
    <row r="40" spans="1:22" x14ac:dyDescent="0.2">
      <c r="A40" s="25">
        <v>185502.59999999998</v>
      </c>
      <c r="B40" s="25">
        <v>1.1255789999999999</v>
      </c>
      <c r="C40" s="25">
        <v>0</v>
      </c>
      <c r="D40" s="25">
        <v>0</v>
      </c>
      <c r="E40" s="25">
        <v>0</v>
      </c>
      <c r="F40" s="28">
        <v>4.0685713654257894E-4</v>
      </c>
      <c r="G40" s="28">
        <v>1.9874498312618321E-4</v>
      </c>
      <c r="H40" s="28">
        <v>4.3770610713204889E-4</v>
      </c>
      <c r="I40" s="28">
        <v>2.9575871190130621E-4</v>
      </c>
      <c r="J40" s="28">
        <v>5.6304519540280733E-5</v>
      </c>
      <c r="K40" s="28">
        <v>2.4797455204854747E-5</v>
      </c>
      <c r="L40" s="28">
        <v>3.7639575435889037E-4</v>
      </c>
      <c r="M40" s="25">
        <v>3.920752581850143E-4</v>
      </c>
      <c r="N40" s="27">
        <v>7.7241063456328464E-5</v>
      </c>
      <c r="O40" s="27">
        <v>1.1937829690323939E-4</v>
      </c>
      <c r="P40" s="27">
        <v>4.8497040570492427E-5</v>
      </c>
      <c r="Q40" s="27">
        <v>4.9591307140819626E-4</v>
      </c>
      <c r="R40" s="27">
        <v>3.5324697063801602E-4</v>
      </c>
      <c r="S40" s="27">
        <v>2.932343062435704E-4</v>
      </c>
      <c r="T40" s="27">
        <v>2.9258228705707169E-4</v>
      </c>
      <c r="U40" s="27">
        <v>6.4896424820890986E-5</v>
      </c>
      <c r="V40" s="27">
        <v>150000</v>
      </c>
    </row>
    <row r="41" spans="1:22" x14ac:dyDescent="0.2">
      <c r="A41" s="25">
        <v>185502.59999999998</v>
      </c>
      <c r="B41" s="25">
        <v>1.1255789999999999</v>
      </c>
      <c r="C41" s="25">
        <v>0</v>
      </c>
      <c r="D41" s="25">
        <v>0</v>
      </c>
      <c r="E41" s="25">
        <v>0</v>
      </c>
      <c r="F41" s="28">
        <v>4.0406386076386499E-4</v>
      </c>
      <c r="G41" s="28">
        <v>1.9868739813976461E-4</v>
      </c>
      <c r="H41" s="28">
        <v>4.4529728423955083E-4</v>
      </c>
      <c r="I41" s="28">
        <v>2.9391077285921617E-4</v>
      </c>
      <c r="J41" s="28">
        <v>4.7015286660840894E-5</v>
      </c>
      <c r="K41" s="28">
        <v>1.8842778555782974E-5</v>
      </c>
      <c r="L41" s="28">
        <v>3.7642468414119919E-4</v>
      </c>
      <c r="M41" s="25">
        <v>3.9891865524060652E-4</v>
      </c>
      <c r="N41" s="27">
        <v>5.8069618804136292E-5</v>
      </c>
      <c r="O41" s="27">
        <v>1.0266832259476282E-4</v>
      </c>
      <c r="P41" s="27">
        <v>3.4836447431820371E-5</v>
      </c>
      <c r="Q41" s="27">
        <v>4.839333581819911E-4</v>
      </c>
      <c r="R41" s="27">
        <v>3.5081434130546763E-4</v>
      </c>
      <c r="S41" s="27">
        <v>3.0240884988525749E-4</v>
      </c>
      <c r="T41" s="27">
        <v>2.7880032107210163E-4</v>
      </c>
      <c r="U41" s="27">
        <v>5.3065720753307976E-5</v>
      </c>
      <c r="V41" s="27">
        <v>150000</v>
      </c>
    </row>
    <row r="42" spans="1:22" x14ac:dyDescent="0.2">
      <c r="A42" s="25">
        <v>210236.27999999997</v>
      </c>
      <c r="B42" s="25">
        <v>1.1255789999999999</v>
      </c>
      <c r="C42" s="25">
        <v>0</v>
      </c>
      <c r="D42" s="25">
        <v>0</v>
      </c>
      <c r="E42" s="25">
        <v>0</v>
      </c>
      <c r="F42" s="28">
        <v>4.359112093376615E-4</v>
      </c>
      <c r="G42" s="28">
        <v>2.4901667626965189E-4</v>
      </c>
      <c r="H42" s="28">
        <v>4.6559543172265385E-4</v>
      </c>
      <c r="I42" s="28">
        <v>3.5104944121915814E-4</v>
      </c>
      <c r="J42" s="28">
        <v>7.7680365917060271E-5</v>
      </c>
      <c r="K42" s="28">
        <v>3.2351003626701142E-5</v>
      </c>
      <c r="L42" s="28">
        <v>3.7896086172360308E-4</v>
      </c>
      <c r="M42" s="25">
        <v>4.308364754998902E-4</v>
      </c>
      <c r="N42" s="27">
        <v>1.014665413820735E-4</v>
      </c>
      <c r="O42" s="27">
        <v>1.3602292494347055E-4</v>
      </c>
      <c r="P42" s="27">
        <v>5.5973603160836456E-5</v>
      </c>
      <c r="Q42" s="27">
        <v>4.9422689245982702E-4</v>
      </c>
      <c r="R42" s="27">
        <v>3.5004563043638235E-4</v>
      </c>
      <c r="S42" s="27">
        <v>2.8809730094167915E-4</v>
      </c>
      <c r="T42" s="27">
        <v>3.3869400246620596E-4</v>
      </c>
      <c r="U42" s="27">
        <v>7.7609418683344622E-5</v>
      </c>
      <c r="V42" s="27">
        <v>170000</v>
      </c>
    </row>
    <row r="43" spans="1:22" x14ac:dyDescent="0.2">
      <c r="A43" s="25">
        <v>210236.27999999997</v>
      </c>
      <c r="B43" s="25">
        <v>1.1255789999999999</v>
      </c>
      <c r="C43" s="25">
        <v>0</v>
      </c>
      <c r="D43" s="25">
        <v>0</v>
      </c>
      <c r="E43" s="25">
        <v>0</v>
      </c>
      <c r="F43" s="28">
        <v>4.1196312452517435E-4</v>
      </c>
      <c r="G43" s="28">
        <v>2.2639537410486463E-4</v>
      </c>
      <c r="H43" s="28">
        <v>4.4942292397188874E-4</v>
      </c>
      <c r="I43" s="28">
        <v>3.3799591436865019E-4</v>
      </c>
      <c r="J43" s="28">
        <v>6.40889545700917E-5</v>
      </c>
      <c r="K43" s="28">
        <v>3.9067759345039325E-5</v>
      </c>
      <c r="L43" s="28">
        <v>3.5981898909595399E-4</v>
      </c>
      <c r="M43" s="25">
        <v>4.2099063941990775E-4</v>
      </c>
      <c r="N43" s="27">
        <v>8.5156225435952237E-5</v>
      </c>
      <c r="O43" s="27">
        <v>1.4254821658683654E-4</v>
      </c>
      <c r="P43" s="27">
        <v>7.0052140792136453E-5</v>
      </c>
      <c r="Q43" s="27">
        <v>5.0521646572216402E-4</v>
      </c>
      <c r="R43" s="27">
        <v>3.5688618411950837E-4</v>
      </c>
      <c r="S43" s="27">
        <v>2.9549791469494336E-4</v>
      </c>
      <c r="T43" s="27">
        <v>3.2642931714013164E-4</v>
      </c>
      <c r="U43" s="27">
        <v>1.0536946395650042E-4</v>
      </c>
      <c r="V43" s="27">
        <v>170000</v>
      </c>
    </row>
    <row r="44" spans="1:22" x14ac:dyDescent="0.2">
      <c r="A44" s="25">
        <v>234969.96</v>
      </c>
      <c r="B44" s="25">
        <v>1.1255789999999999</v>
      </c>
      <c r="C44" s="25">
        <v>0</v>
      </c>
      <c r="D44" s="25">
        <v>0</v>
      </c>
      <c r="E44" s="25">
        <v>0</v>
      </c>
      <c r="F44" s="28">
        <v>4.0630649077975001E-4</v>
      </c>
      <c r="G44" s="28">
        <v>2.5761603424150135E-4</v>
      </c>
      <c r="H44" s="28">
        <v>4.5564535942701503E-4</v>
      </c>
      <c r="I44" s="28">
        <v>3.5268113207547163E-4</v>
      </c>
      <c r="J44" s="28">
        <v>9.4946956627545525E-5</v>
      </c>
      <c r="K44" s="28">
        <v>3.8507407088225789E-5</v>
      </c>
      <c r="L44" s="28">
        <v>3.6438989470074281E-4</v>
      </c>
      <c r="M44" s="25">
        <v>4.1576116604409287E-4</v>
      </c>
      <c r="N44" s="27">
        <v>1.1867096004884193E-4</v>
      </c>
      <c r="O44" s="27">
        <v>1.5438522632043895E-4</v>
      </c>
      <c r="P44" s="27">
        <v>5.9975034692107539E-5</v>
      </c>
      <c r="Q44" s="27">
        <v>5.0671638071693448E-4</v>
      </c>
      <c r="R44" s="27">
        <v>3.5144682493193022E-4</v>
      </c>
      <c r="S44" s="27">
        <v>2.9103537231937957E-4</v>
      </c>
      <c r="T44" s="27">
        <v>3.2790769316674807E-4</v>
      </c>
      <c r="U44" s="27">
        <v>8.1732118270285407E-5</v>
      </c>
      <c r="V44" s="27">
        <v>190000</v>
      </c>
    </row>
    <row r="45" spans="1:22" x14ac:dyDescent="0.2">
      <c r="A45" s="25">
        <v>234969.96</v>
      </c>
      <c r="B45" s="25">
        <v>1.1255789999999999</v>
      </c>
      <c r="C45" s="25">
        <v>0</v>
      </c>
      <c r="D45" s="25">
        <v>0</v>
      </c>
      <c r="E45" s="25">
        <v>0</v>
      </c>
      <c r="F45" s="28">
        <v>3.9249028800331516E-4</v>
      </c>
      <c r="G45" s="28">
        <v>2.2322819985183968E-4</v>
      </c>
      <c r="H45" s="28">
        <v>4.02477997511685E-4</v>
      </c>
      <c r="I45" s="28">
        <v>3.258368686502177E-4</v>
      </c>
      <c r="J45" s="28">
        <v>6.845865601805249E-5</v>
      </c>
      <c r="K45" s="28">
        <v>2.8779691909942904E-5</v>
      </c>
      <c r="L45" s="28">
        <v>3.3759127302203411E-4</v>
      </c>
      <c r="M45" s="25">
        <v>3.8924412949534903E-4</v>
      </c>
      <c r="N45" s="27">
        <v>9.7457196550539935E-5</v>
      </c>
      <c r="O45" s="27">
        <v>1.2135735531295841E-4</v>
      </c>
      <c r="P45" s="27">
        <v>4.9031080755517005E-5</v>
      </c>
      <c r="Q45" s="27">
        <v>4.6537558638394983E-4</v>
      </c>
      <c r="R45" s="27">
        <v>3.2152548414158508E-4</v>
      </c>
      <c r="S45" s="27">
        <v>2.7327759499881302E-4</v>
      </c>
      <c r="T45" s="27">
        <v>3.0296009771759607E-4</v>
      </c>
      <c r="U45" s="27">
        <v>6.3276219924855896E-5</v>
      </c>
      <c r="V45" s="27">
        <v>190000</v>
      </c>
    </row>
    <row r="46" spans="1:22" x14ac:dyDescent="0.2">
      <c r="A46" s="25">
        <v>259703.63999999998</v>
      </c>
      <c r="B46" s="25">
        <v>1.1255789999999999</v>
      </c>
      <c r="C46" s="25">
        <v>0</v>
      </c>
      <c r="D46" s="25">
        <v>0</v>
      </c>
      <c r="E46" s="25">
        <v>0</v>
      </c>
      <c r="F46" s="28">
        <v>3.7270708750604327E-4</v>
      </c>
      <c r="G46" s="28">
        <v>2.440547699399128E-4</v>
      </c>
      <c r="H46" s="28">
        <v>3.9719717865429233E-4</v>
      </c>
      <c r="I46" s="28">
        <v>3.3159693396226416E-4</v>
      </c>
      <c r="J46" s="28">
        <v>9.3625435439089393E-5</v>
      </c>
      <c r="K46" s="28">
        <v>6.4806606341340786E-5</v>
      </c>
      <c r="L46" s="28">
        <v>3.3228747959875607E-4</v>
      </c>
      <c r="M46" s="25">
        <v>3.7428603237383727E-4</v>
      </c>
      <c r="N46" s="27">
        <v>1.2190855305834318E-4</v>
      </c>
      <c r="O46" s="27">
        <v>1.5585084976537237E-4</v>
      </c>
      <c r="P46" s="27">
        <v>9.251278741447432E-5</v>
      </c>
      <c r="Q46" s="27">
        <v>4.6836561300751166E-4</v>
      </c>
      <c r="R46" s="27">
        <v>3.2262503259989695E-4</v>
      </c>
      <c r="S46" s="27">
        <v>2.6789113080636224E-4</v>
      </c>
      <c r="T46" s="27">
        <v>3.1902771084897977E-4</v>
      </c>
      <c r="U46" s="27">
        <v>1.149062145574199E-4</v>
      </c>
      <c r="V46" s="27">
        <v>210000</v>
      </c>
    </row>
    <row r="47" spans="1:22" x14ac:dyDescent="0.2">
      <c r="A47" s="25">
        <v>259703.63999999998</v>
      </c>
      <c r="B47" s="25">
        <v>1.1255789999999999</v>
      </c>
      <c r="C47" s="25">
        <v>0</v>
      </c>
      <c r="D47" s="25">
        <v>0</v>
      </c>
      <c r="E47" s="25">
        <v>0</v>
      </c>
      <c r="F47" s="28">
        <v>3.8835543891152708E-4</v>
      </c>
      <c r="G47" s="28">
        <v>2.4121391060992676E-4</v>
      </c>
      <c r="H47" s="28">
        <v>3.9999290628467676E-4</v>
      </c>
      <c r="I47" s="28">
        <v>3.3554837808417992E-4</v>
      </c>
      <c r="J47" s="28">
        <v>7.7506735395949255E-5</v>
      </c>
      <c r="K47" s="28">
        <v>3.8948217530252431E-5</v>
      </c>
      <c r="L47" s="28">
        <v>3.3230676612029517E-4</v>
      </c>
      <c r="M47" s="25">
        <v>3.8917199882809646E-4</v>
      </c>
      <c r="N47" s="27">
        <v>1.1365457320563208E-4</v>
      </c>
      <c r="O47" s="27">
        <v>1.439391585823466E-4</v>
      </c>
      <c r="P47" s="27">
        <v>6.6267421220005782E-5</v>
      </c>
      <c r="Q47" s="27">
        <v>4.8028650603784353E-4</v>
      </c>
      <c r="R47" s="27">
        <v>3.3238474148208105E-4</v>
      </c>
      <c r="S47" s="27">
        <v>2.7892275729999205E-4</v>
      </c>
      <c r="T47" s="27">
        <v>3.1528313999208945E-4</v>
      </c>
      <c r="U47" s="27">
        <v>8.9905330097313959E-5</v>
      </c>
      <c r="V47" s="27">
        <v>210000</v>
      </c>
    </row>
    <row r="48" spans="1:22" x14ac:dyDescent="0.2">
      <c r="A48" s="25">
        <v>284437.31999999995</v>
      </c>
      <c r="B48" s="25">
        <v>1.1255789999999999</v>
      </c>
      <c r="C48" s="25">
        <v>0</v>
      </c>
      <c r="D48" s="25">
        <v>0</v>
      </c>
      <c r="E48" s="25">
        <v>0</v>
      </c>
      <c r="F48" s="28">
        <v>3.667200663029215E-4</v>
      </c>
      <c r="G48" s="28">
        <v>2.5176156062227346E-4</v>
      </c>
      <c r="H48" s="28">
        <v>3.7112313554591618E-4</v>
      </c>
      <c r="I48" s="28">
        <v>3.2973916545718426E-4</v>
      </c>
      <c r="J48" s="28">
        <v>1.0585674103735496E-4</v>
      </c>
      <c r="K48" s="28">
        <v>5.7611683363855067E-5</v>
      </c>
      <c r="L48" s="28">
        <v>3.1430279826345856E-4</v>
      </c>
      <c r="M48" s="25">
        <v>3.6718116164945435E-4</v>
      </c>
      <c r="N48" s="27">
        <v>1.2884490784904795E-4</v>
      </c>
      <c r="O48" s="27">
        <v>1.5421719305923641E-4</v>
      </c>
      <c r="P48" s="27">
        <v>7.6259390478943819E-5</v>
      </c>
      <c r="Q48" s="27">
        <v>4.6689510811067796E-4</v>
      </c>
      <c r="R48" s="27">
        <v>3.2333536036500103E-4</v>
      </c>
      <c r="S48" s="27">
        <v>2.8070592640658379E-4</v>
      </c>
      <c r="T48" s="27">
        <v>3.0081061678416035E-4</v>
      </c>
      <c r="U48" s="27">
        <v>9.4413028867471001E-5</v>
      </c>
      <c r="V48" s="27">
        <v>230000</v>
      </c>
    </row>
    <row r="49" spans="1:22" x14ac:dyDescent="0.2">
      <c r="A49" s="25">
        <v>284437.31999999995</v>
      </c>
      <c r="B49" s="25">
        <v>1.1255789999999999</v>
      </c>
      <c r="C49" s="25">
        <v>0</v>
      </c>
      <c r="D49" s="25">
        <v>0</v>
      </c>
      <c r="E49" s="25">
        <v>0</v>
      </c>
      <c r="F49" s="28">
        <v>3.7009402306789141E-4</v>
      </c>
      <c r="G49" s="28">
        <v>2.5524545230060092E-4</v>
      </c>
      <c r="H49" s="28">
        <v>4.2175686929621045E-4</v>
      </c>
      <c r="I49" s="28">
        <v>3.508823403483309E-4</v>
      </c>
      <c r="J49" s="28">
        <v>8.9496887492671691E-5</v>
      </c>
      <c r="K49" s="28">
        <v>3.6945892132572087E-5</v>
      </c>
      <c r="L49" s="28">
        <v>3.1871941169593382E-4</v>
      </c>
      <c r="M49" s="25">
        <v>3.9389655753314289E-4</v>
      </c>
      <c r="N49" s="27">
        <v>1.32562492845423E-4</v>
      </c>
      <c r="O49" s="27">
        <v>1.4701043318988226E-4</v>
      </c>
      <c r="P49" s="27">
        <v>5.3705867302688633E-5</v>
      </c>
      <c r="Q49" s="27">
        <v>5.0731438604164681E-4</v>
      </c>
      <c r="R49" s="27">
        <v>3.4894608197807048E-4</v>
      </c>
      <c r="S49" s="27">
        <v>2.6338239233995408E-4</v>
      </c>
      <c r="T49" s="27">
        <v>3.2625424629487441E-4</v>
      </c>
      <c r="U49" s="27">
        <v>7.3286198688478691E-5</v>
      </c>
      <c r="V49" s="27">
        <v>230000</v>
      </c>
    </row>
    <row r="50" spans="1:22" x14ac:dyDescent="0.2">
      <c r="A50" s="25">
        <v>309171</v>
      </c>
      <c r="B50" s="25">
        <v>1.1255789999999999</v>
      </c>
      <c r="C50" s="25">
        <v>0</v>
      </c>
      <c r="D50" s="25">
        <v>0</v>
      </c>
      <c r="E50" s="25">
        <v>0</v>
      </c>
      <c r="F50" s="28">
        <v>3.8370999102147938E-4</v>
      </c>
      <c r="G50" s="28">
        <v>2.8691719483085027E-4</v>
      </c>
      <c r="H50" s="28">
        <v>4.0734139870204108E-4</v>
      </c>
      <c r="I50" s="28">
        <v>3.6005322931785192E-4</v>
      </c>
      <c r="J50" s="28">
        <v>1.1501092795593065E-4</v>
      </c>
      <c r="K50" s="28">
        <v>4.606095551007217E-5</v>
      </c>
      <c r="L50" s="28">
        <v>3.3031061114098873E-4</v>
      </c>
      <c r="M50" s="25">
        <v>3.9615064088478725E-4</v>
      </c>
      <c r="N50" s="27">
        <v>1.4590815240203E-4</v>
      </c>
      <c r="O50" s="27">
        <v>1.6376708340424843E-4</v>
      </c>
      <c r="P50" s="27">
        <v>6.7459336995278016E-5</v>
      </c>
      <c r="Q50" s="27">
        <v>4.9973638413996384E-4</v>
      </c>
      <c r="R50" s="27">
        <v>3.3932260033850902E-4</v>
      </c>
      <c r="S50" s="27">
        <v>2.8027168315264699E-4</v>
      </c>
      <c r="T50" s="27">
        <v>3.3186623950117491E-4</v>
      </c>
      <c r="U50" s="27">
        <v>9.1429285197544978E-5</v>
      </c>
      <c r="V50" s="27">
        <v>250000</v>
      </c>
    </row>
    <row r="51" spans="1:22" x14ac:dyDescent="0.2">
      <c r="A51" s="25">
        <v>309171</v>
      </c>
      <c r="B51" s="29"/>
      <c r="C51" s="25">
        <v>0</v>
      </c>
      <c r="D51" s="25">
        <v>0</v>
      </c>
      <c r="E51" s="25">
        <v>0</v>
      </c>
      <c r="F51" s="30">
        <v>3.8441081290144355E-4</v>
      </c>
      <c r="G51" s="30">
        <v>2.8329893818421269E-4</v>
      </c>
      <c r="H51" s="30">
        <v>3.9410052200813749E-4</v>
      </c>
      <c r="I51" s="30">
        <v>3.7040365384615381E-4</v>
      </c>
      <c r="J51" s="30">
        <v>9.951922701680254E-5</v>
      </c>
      <c r="K51" s="30">
        <v>4.7039704118639806E-5</v>
      </c>
      <c r="L51" s="30">
        <v>3.213809516683424E-4</v>
      </c>
      <c r="M51" s="30">
        <v>4.1476035303596279E-4</v>
      </c>
      <c r="N51" s="27">
        <v>1.2793198191322927E-4</v>
      </c>
      <c r="O51" s="27">
        <v>1.6956423091573665E-4</v>
      </c>
      <c r="P51" s="27">
        <v>6.7498035559410231E-5</v>
      </c>
      <c r="Q51" s="27">
        <v>5.5537048607017209E-4</v>
      </c>
      <c r="R51" s="27">
        <v>3.6298721848553977E-4</v>
      </c>
      <c r="S51" s="27">
        <v>3.059567096621033E-4</v>
      </c>
      <c r="T51" s="27">
        <v>3.3914140573741881E-4</v>
      </c>
      <c r="U51" s="27">
        <v>9.8519686821777779E-5</v>
      </c>
      <c r="V51" s="27">
        <v>250000</v>
      </c>
    </row>
    <row r="54" spans="1:22" x14ac:dyDescent="0.2">
      <c r="A54" s="1"/>
    </row>
    <row r="55" spans="1:22" x14ac:dyDescent="0.2">
      <c r="A55" s="1"/>
    </row>
    <row r="56" spans="1:22" x14ac:dyDescent="0.2">
      <c r="A5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D82F-D1B6-DE43-93D4-95F5D0430C50}">
  <dimension ref="A1:R56"/>
  <sheetViews>
    <sheetView zoomScaleNormal="100" workbookViewId="0">
      <selection activeCell="V2" sqref="V2:V17"/>
    </sheetView>
  </sheetViews>
  <sheetFormatPr baseColWidth="10" defaultColWidth="11" defaultRowHeight="15.75" customHeight="1" x14ac:dyDescent="0.2"/>
  <sheetData>
    <row r="1" spans="1:18" x14ac:dyDescent="0.2">
      <c r="A1" s="1" t="s">
        <v>18</v>
      </c>
      <c r="B1" t="s">
        <v>34</v>
      </c>
      <c r="C1" t="s">
        <v>42</v>
      </c>
      <c r="D1" t="s">
        <v>36</v>
      </c>
      <c r="E1" t="s">
        <v>43</v>
      </c>
      <c r="F1" t="s">
        <v>44</v>
      </c>
      <c r="G1" t="s">
        <v>45</v>
      </c>
      <c r="H1" t="s">
        <v>37</v>
      </c>
      <c r="I1" t="s">
        <v>38</v>
      </c>
      <c r="J1" t="s">
        <v>46</v>
      </c>
      <c r="K1" t="s">
        <v>47</v>
      </c>
      <c r="L1" t="s">
        <v>48</v>
      </c>
      <c r="M1" t="s">
        <v>39</v>
      </c>
      <c r="N1" t="s">
        <v>40</v>
      </c>
      <c r="O1" t="s">
        <v>41</v>
      </c>
      <c r="P1" t="s">
        <v>49</v>
      </c>
      <c r="Q1" t="s">
        <v>50</v>
      </c>
      <c r="R1" t="s">
        <v>51</v>
      </c>
    </row>
    <row r="2" spans="1:18" x14ac:dyDescent="0.2">
      <c r="A2" s="1">
        <v>0</v>
      </c>
      <c r="B2">
        <v>1.1243870433040955E-2</v>
      </c>
      <c r="C2">
        <v>2.5845748621285705E-2</v>
      </c>
      <c r="D2">
        <v>5.1999058475402669E-2</v>
      </c>
      <c r="E2">
        <v>2.0198355104015481E-2</v>
      </c>
      <c r="F2">
        <v>8.5616627766777632E-3</v>
      </c>
      <c r="G2">
        <v>1.6517648748608567E-2</v>
      </c>
      <c r="H2">
        <v>2.2197800484797466E-2</v>
      </c>
      <c r="I2">
        <v>0</v>
      </c>
      <c r="J2">
        <v>3.8539321555309649E-3</v>
      </c>
      <c r="K2">
        <v>1.5625633170431242E-2</v>
      </c>
      <c r="L2">
        <v>4.1967813433554983E-2</v>
      </c>
      <c r="M2">
        <v>1.7628601312161263E-2</v>
      </c>
      <c r="N2">
        <v>9.6254323349768186E-3</v>
      </c>
      <c r="O2">
        <v>7.7233520614069786E-3</v>
      </c>
      <c r="P2">
        <v>6.9798282962239121E-3</v>
      </c>
      <c r="Q2">
        <v>1.8109262327600292E-2</v>
      </c>
      <c r="R2">
        <v>2500</v>
      </c>
    </row>
    <row r="3" spans="1:18" x14ac:dyDescent="0.2">
      <c r="A3" s="1">
        <f>1.236684*R3</f>
        <v>3091.7099999999996</v>
      </c>
      <c r="B3">
        <v>4.1163063747496377E-3</v>
      </c>
      <c r="C3">
        <v>2.5681126018602358E-2</v>
      </c>
      <c r="D3">
        <v>1.9852718652274792E-2</v>
      </c>
      <c r="E3">
        <v>1.236695694242864E-2</v>
      </c>
      <c r="F3">
        <v>9.8890523544572628E-3</v>
      </c>
      <c r="G3">
        <v>1.615856942798664E-2</v>
      </c>
      <c r="H3">
        <v>0</v>
      </c>
      <c r="I3">
        <v>0</v>
      </c>
      <c r="J3">
        <v>2.9381462967909334E-3</v>
      </c>
      <c r="K3">
        <v>1.4490991757640594E-2</v>
      </c>
      <c r="L3">
        <v>4.567794160161897E-2</v>
      </c>
      <c r="M3">
        <v>1.272225919939146E-2</v>
      </c>
      <c r="N3">
        <v>1.442343071602031E-3</v>
      </c>
      <c r="O3">
        <v>0</v>
      </c>
      <c r="P3">
        <v>8.4688583327516796E-3</v>
      </c>
      <c r="Q3">
        <v>1.8669342605773496E-2</v>
      </c>
      <c r="R3">
        <v>2500</v>
      </c>
    </row>
    <row r="4" spans="1:18" x14ac:dyDescent="0.2">
      <c r="A4" s="1">
        <f t="shared" ref="A4:A51" si="0">1.236684*R4</f>
        <v>6183.4199999999992</v>
      </c>
      <c r="B4">
        <v>2.2929760342565095E-2</v>
      </c>
      <c r="C4">
        <v>3.5338985376025471E-2</v>
      </c>
      <c r="D4">
        <v>7.2470493291637239E-2</v>
      </c>
      <c r="E4">
        <v>2.8725205611998064E-2</v>
      </c>
      <c r="F4">
        <v>8.2961848611218646E-3</v>
      </c>
      <c r="G4">
        <v>1.7702610506660922E-2</v>
      </c>
      <c r="H4">
        <v>4.4333247597446633E-2</v>
      </c>
      <c r="I4">
        <v>0</v>
      </c>
      <c r="J4">
        <v>3.5868279467317888E-3</v>
      </c>
      <c r="K4">
        <v>2.3827469668603659E-2</v>
      </c>
      <c r="L4">
        <v>4.7316180013491381E-2</v>
      </c>
      <c r="M4">
        <v>6.9373395454977643E-2</v>
      </c>
      <c r="N4">
        <v>2.8199278828464198E-2</v>
      </c>
      <c r="O4">
        <v>3.2381103109915328E-2</v>
      </c>
      <c r="P4">
        <v>1.8954111506634713E-2</v>
      </c>
      <c r="Q4">
        <v>2.9544234673636552E-2</v>
      </c>
      <c r="R4">
        <v>5000</v>
      </c>
    </row>
    <row r="5" spans="1:18" x14ac:dyDescent="0.2">
      <c r="A5" s="1">
        <f t="shared" si="0"/>
        <v>6183.4199999999992</v>
      </c>
      <c r="B5">
        <v>1.3094826990814283E-2</v>
      </c>
      <c r="C5">
        <v>3.8905808434164683E-2</v>
      </c>
      <c r="D5">
        <v>2.6793099969736708E-2</v>
      </c>
      <c r="E5">
        <v>1.7446782776971457E-2</v>
      </c>
      <c r="F5">
        <v>7.7652290300100658E-3</v>
      </c>
      <c r="G5">
        <v>1.6733096340981721E-2</v>
      </c>
      <c r="H5">
        <v>1.4341275594110725E-2</v>
      </c>
      <c r="I5">
        <v>4.3737116907848613E-3</v>
      </c>
      <c r="J5">
        <v>3.357881482046781E-3</v>
      </c>
      <c r="K5">
        <v>2.6680282363620151E-2</v>
      </c>
      <c r="L5">
        <v>4.1775079502746462E-2</v>
      </c>
      <c r="M5">
        <v>5.925644195112674E-2</v>
      </c>
      <c r="N5">
        <v>1.9427478107292662E-2</v>
      </c>
      <c r="O5">
        <v>1.2629579805333543E-2</v>
      </c>
      <c r="P5">
        <v>9.7407381556191483E-3</v>
      </c>
      <c r="Q5">
        <v>2.3570045039789034E-2</v>
      </c>
      <c r="R5">
        <v>5000</v>
      </c>
    </row>
    <row r="6" spans="1:18" x14ac:dyDescent="0.2">
      <c r="A6" s="1">
        <f t="shared" si="0"/>
        <v>9275.1299999999992</v>
      </c>
      <c r="B6">
        <v>4.0582913184612199E-2</v>
      </c>
      <c r="C6">
        <v>3.2485526929514091E-2</v>
      </c>
      <c r="D6">
        <v>9.0117354315881512E-2</v>
      </c>
      <c r="E6">
        <v>2.8785679729075957E-2</v>
      </c>
      <c r="F6">
        <v>8.1302611638994268E-3</v>
      </c>
      <c r="G6">
        <v>1.6374017020359795E-2</v>
      </c>
      <c r="H6">
        <v>4.5767375156857706E-2</v>
      </c>
      <c r="I6">
        <v>0.96836906593004157</v>
      </c>
      <c r="J6">
        <v>4.3499828290151478E-3</v>
      </c>
      <c r="K6">
        <v>1.6111908061627236E-2</v>
      </c>
      <c r="L6">
        <v>3.319841958176737E-2</v>
      </c>
      <c r="M6">
        <v>0.15711704858800038</v>
      </c>
      <c r="N6">
        <v>6.3109868275811318E-2</v>
      </c>
      <c r="O6">
        <v>5.5867690116325072E-2</v>
      </c>
      <c r="P6">
        <v>2.413469517538757E-2</v>
      </c>
      <c r="Q6">
        <v>0</v>
      </c>
      <c r="R6">
        <v>7500</v>
      </c>
    </row>
    <row r="7" spans="1:18" x14ac:dyDescent="0.2">
      <c r="A7" s="1">
        <f t="shared" si="0"/>
        <v>9275.1299999999992</v>
      </c>
      <c r="B7">
        <v>3.3759237516403071E-2</v>
      </c>
      <c r="C7">
        <v>4.3844486514665139E-2</v>
      </c>
      <c r="D7">
        <v>3.5777934698543998E-2</v>
      </c>
      <c r="E7">
        <v>2.4219883889695207E-2</v>
      </c>
      <c r="F7">
        <v>9.6235744389013625E-3</v>
      </c>
      <c r="G7">
        <v>1.655355668067076E-2</v>
      </c>
      <c r="H7">
        <v>3.0677859096967287E-2</v>
      </c>
      <c r="I7">
        <v>0.78768664134517796</v>
      </c>
      <c r="J7">
        <v>4.0828786202159722E-3</v>
      </c>
      <c r="K7">
        <v>2.6453354081062027E-2</v>
      </c>
      <c r="L7">
        <v>5.8061096656066298E-2</v>
      </c>
      <c r="M7">
        <v>0.14428068840924219</v>
      </c>
      <c r="N7">
        <v>5.2660239899919054E-2</v>
      </c>
      <c r="O7">
        <v>3.39321041386405E-2</v>
      </c>
      <c r="P7">
        <v>2.3204051402557716E-2</v>
      </c>
      <c r="Q7">
        <v>2.609040629156846E-2</v>
      </c>
      <c r="R7">
        <v>7500</v>
      </c>
    </row>
    <row r="8" spans="1:18" x14ac:dyDescent="0.2">
      <c r="A8" s="1">
        <f t="shared" si="0"/>
        <v>12366.839999999998</v>
      </c>
      <c r="B8">
        <v>6.710408177360315E-2</v>
      </c>
      <c r="C8">
        <v>3.7369330809120097E-2</v>
      </c>
      <c r="D8">
        <v>6.5745317596422201E-2</v>
      </c>
      <c r="E8">
        <v>3.1325592646347357E-2</v>
      </c>
      <c r="F8">
        <v>1.0619116622235988E-2</v>
      </c>
      <c r="G8">
        <v>1.7199899457790224E-2</v>
      </c>
      <c r="H8">
        <v>5.2220949174207533E-2</v>
      </c>
      <c r="I8">
        <v>0.11237718554791726</v>
      </c>
      <c r="J8">
        <v>6.7539207082077304E-3</v>
      </c>
      <c r="K8">
        <v>2.2303808342856217E-2</v>
      </c>
      <c r="L8">
        <v>5.5170087693938517E-2</v>
      </c>
      <c r="M8">
        <v>0.26305980793001804</v>
      </c>
      <c r="N8">
        <v>0.11191404812716167</v>
      </c>
      <c r="O8">
        <v>8.4925219593257883E-2</v>
      </c>
      <c r="P8">
        <v>3.7256772372288527E-2</v>
      </c>
      <c r="Q8">
        <v>2.7537280343515904E-2</v>
      </c>
      <c r="R8">
        <v>10000</v>
      </c>
    </row>
    <row r="9" spans="1:18" x14ac:dyDescent="0.2">
      <c r="A9" s="1">
        <f t="shared" si="0"/>
        <v>12366.839999999998</v>
      </c>
      <c r="B9">
        <v>4.9975827059879824E-2</v>
      </c>
      <c r="C9">
        <v>3.3253765742036388E-2</v>
      </c>
      <c r="D9">
        <v>3.6396650862503786E-2</v>
      </c>
      <c r="E9">
        <v>2.6185292694726654E-2</v>
      </c>
      <c r="F9">
        <v>1.0685486101124964E-2</v>
      </c>
      <c r="G9">
        <v>1.8995296060899853E-2</v>
      </c>
      <c r="H9">
        <v>4.0498515210325721E-2</v>
      </c>
      <c r="I9">
        <v>9.808414686463468E-2</v>
      </c>
      <c r="J9">
        <v>5.1131377112985073E-3</v>
      </c>
      <c r="K9">
        <v>2.1687860147341292E-2</v>
      </c>
      <c r="L9">
        <v>5.6856509588513057E-2</v>
      </c>
      <c r="M9">
        <v>0.23991632594846435</v>
      </c>
      <c r="N9">
        <v>9.4193833247479583E-2</v>
      </c>
      <c r="O9">
        <v>5.2100973332278228E-2</v>
      </c>
      <c r="P9">
        <v>2.7578077134858037E-2</v>
      </c>
      <c r="Q9">
        <v>2.7863993839116939E-2</v>
      </c>
      <c r="R9">
        <v>10000</v>
      </c>
    </row>
    <row r="10" spans="1:18" x14ac:dyDescent="0.2">
      <c r="A10" s="1">
        <f t="shared" si="0"/>
        <v>18550.259999999998</v>
      </c>
      <c r="B10">
        <v>0.13558947441121624</v>
      </c>
      <c r="C10">
        <v>5.4078524981479956E-2</v>
      </c>
      <c r="D10">
        <v>8.32307744039813E-2</v>
      </c>
      <c r="E10">
        <v>5.0072568940493459E-2</v>
      </c>
      <c r="F10">
        <v>9.4576507416789263E-3</v>
      </c>
      <c r="G10">
        <v>1.7594886710474343E-2</v>
      </c>
      <c r="H10">
        <v>0.10640602957108675</v>
      </c>
      <c r="I10">
        <v>0.30398342593464545</v>
      </c>
      <c r="J10">
        <v>8.8907543786011373E-3</v>
      </c>
      <c r="K10">
        <v>3.7345911643852273E-2</v>
      </c>
      <c r="L10">
        <v>7.964729690662041E-2</v>
      </c>
      <c r="M10">
        <v>0.54519349624417601</v>
      </c>
      <c r="N10">
        <v>0.25756126278607694</v>
      </c>
      <c r="O10">
        <v>0.16573553849806122</v>
      </c>
      <c r="P10">
        <v>6.005754480661997E-2</v>
      </c>
      <c r="Q10">
        <v>3.8365499054864527E-2</v>
      </c>
      <c r="R10">
        <v>15000</v>
      </c>
    </row>
    <row r="11" spans="1:18" x14ac:dyDescent="0.2">
      <c r="A11" s="1">
        <f t="shared" si="0"/>
        <v>18550.259999999998</v>
      </c>
      <c r="B11">
        <v>0.10489674701291525</v>
      </c>
      <c r="C11">
        <v>9.3725135127719725E-2</v>
      </c>
      <c r="D11">
        <v>6.7547664682739844E-2</v>
      </c>
      <c r="E11">
        <v>4.6927914852443152E-2</v>
      </c>
      <c r="F11">
        <v>1.1249626671681247E-2</v>
      </c>
      <c r="G11">
        <v>1.7451254982225571E-2</v>
      </c>
      <c r="H11">
        <v>7.6351704195602541E-2</v>
      </c>
      <c r="I11">
        <v>0.30337654727898627</v>
      </c>
      <c r="J11">
        <v>6.6776052199793946E-3</v>
      </c>
      <c r="K11">
        <v>4.4380688403154303E-2</v>
      </c>
      <c r="L11">
        <v>5.9940252481449359E-2</v>
      </c>
      <c r="M11">
        <v>0.53547589616810876</v>
      </c>
      <c r="N11">
        <v>0.2286849657811465</v>
      </c>
      <c r="O11">
        <v>0.13553849806124871</v>
      </c>
      <c r="P11">
        <v>4.5384394655002595E-2</v>
      </c>
      <c r="Q11">
        <v>2.9450887960607686E-2</v>
      </c>
      <c r="R11">
        <v>15000</v>
      </c>
    </row>
    <row r="12" spans="1:18" x14ac:dyDescent="0.2">
      <c r="A12" s="1">
        <f t="shared" si="0"/>
        <v>24733.679999999997</v>
      </c>
      <c r="B12">
        <v>0.23664617722218387</v>
      </c>
      <c r="C12">
        <v>7.2708316185145561E-2</v>
      </c>
      <c r="D12">
        <v>0.13923803759373213</v>
      </c>
      <c r="E12">
        <v>7.7164973391388489E-2</v>
      </c>
      <c r="F12">
        <v>1.6492815503910265E-2</v>
      </c>
      <c r="G12">
        <v>2.2981076519803224E-2</v>
      </c>
      <c r="H12">
        <v>0.16386466200575212</v>
      </c>
      <c r="I12">
        <v>0.56119534168314666</v>
      </c>
      <c r="J12">
        <v>1.2897317510588773E-2</v>
      </c>
      <c r="K12">
        <v>5.8385405269598907E-2</v>
      </c>
      <c r="L12">
        <v>8.0080948250939574E-2</v>
      </c>
      <c r="M12">
        <v>0.87758866596938279</v>
      </c>
      <c r="N12">
        <v>0.45095297667230849</v>
      </c>
      <c r="O12">
        <v>0.27281791564453589</v>
      </c>
      <c r="P12">
        <v>8.810094382789295E-2</v>
      </c>
      <c r="Q12">
        <v>5.7688268651840097E-2</v>
      </c>
      <c r="R12">
        <v>20000</v>
      </c>
    </row>
    <row r="13" spans="1:18" x14ac:dyDescent="0.2">
      <c r="A13" s="1">
        <f t="shared" si="0"/>
        <v>24733.679999999997</v>
      </c>
      <c r="B13">
        <v>0.18553767525381587</v>
      </c>
      <c r="C13">
        <v>5.3557220072982692E-2</v>
      </c>
      <c r="D13">
        <v>9.1812098591075697E-2</v>
      </c>
      <c r="E13">
        <v>5.1735607160135463E-2</v>
      </c>
      <c r="F13">
        <v>1.4501731137241019E-2</v>
      </c>
      <c r="G13">
        <v>1.8492585012029158E-2</v>
      </c>
      <c r="H13">
        <v>0.1113631226568772</v>
      </c>
      <c r="I13">
        <v>0.46334139017065851</v>
      </c>
      <c r="J13">
        <v>9.3868050520853202E-3</v>
      </c>
      <c r="K13">
        <v>3.9161337904317313E-2</v>
      </c>
      <c r="L13">
        <v>5.0881757733448975E-2</v>
      </c>
      <c r="M13">
        <v>0.84603974517447933</v>
      </c>
      <c r="N13">
        <v>0.39411288542203254</v>
      </c>
      <c r="O13">
        <v>0.24565957110073591</v>
      </c>
      <c r="P13">
        <v>6.4803828048052237E-2</v>
      </c>
      <c r="Q13">
        <v>4.074584023710065E-2</v>
      </c>
      <c r="R13">
        <v>20000</v>
      </c>
    </row>
    <row r="14" spans="1:18" x14ac:dyDescent="0.2">
      <c r="A14" s="1">
        <f t="shared" si="0"/>
        <v>30917.1</v>
      </c>
      <c r="B14">
        <v>0.33703985081842669</v>
      </c>
      <c r="C14">
        <v>8.8896205449008156E-2</v>
      </c>
      <c r="D14">
        <v>0.17891657419550086</v>
      </c>
      <c r="E14">
        <v>9.0257619738751821E-2</v>
      </c>
      <c r="F14">
        <v>1.9512626793358627E-2</v>
      </c>
      <c r="G14">
        <v>2.1544759237315522E-2</v>
      </c>
      <c r="H14">
        <v>0.21193911193209716</v>
      </c>
      <c r="I14">
        <v>0.77435623777087204</v>
      </c>
      <c r="J14">
        <v>1.5186782157438851E-2</v>
      </c>
      <c r="K14">
        <v>5.780187540016371E-2</v>
      </c>
      <c r="L14">
        <v>7.8779994217982069E-2</v>
      </c>
      <c r="M14">
        <v>1.0629266901207568</v>
      </c>
      <c r="N14">
        <v>0.63937007874015739</v>
      </c>
      <c r="O14">
        <v>0.38236923320408323</v>
      </c>
      <c r="P14">
        <v>0.10649666907082973</v>
      </c>
      <c r="Q14">
        <v>5.460782712188747E-2</v>
      </c>
      <c r="R14">
        <v>25000</v>
      </c>
    </row>
    <row r="15" spans="1:18" x14ac:dyDescent="0.2">
      <c r="A15" s="1">
        <f t="shared" si="0"/>
        <v>30917.1</v>
      </c>
      <c r="B15">
        <v>0.30361212790938602</v>
      </c>
      <c r="C15">
        <v>6.7412955798831192E-2</v>
      </c>
      <c r="D15">
        <v>0.12465785668650593</v>
      </c>
      <c r="E15">
        <v>7.4957668118045467E-2</v>
      </c>
      <c r="F15">
        <v>2.0474984237248764E-2</v>
      </c>
      <c r="G15">
        <v>1.9354375381521776E-2</v>
      </c>
      <c r="H15">
        <v>0.16585996991449795</v>
      </c>
      <c r="I15">
        <v>0.7226878446390641</v>
      </c>
      <c r="J15">
        <v>1.3507841416415461E-2</v>
      </c>
      <c r="K15">
        <v>5.2388014944848321E-2</v>
      </c>
      <c r="L15">
        <v>0</v>
      </c>
      <c r="M15">
        <v>1.0549015879052961</v>
      </c>
      <c r="N15">
        <v>0.58332474795790712</v>
      </c>
      <c r="O15">
        <v>0.36787212154783572</v>
      </c>
      <c r="P15">
        <v>8.2951381618234413E-2</v>
      </c>
      <c r="Q15">
        <v>6.5856106041865994E-2</v>
      </c>
      <c r="R15">
        <v>25000</v>
      </c>
    </row>
    <row r="16" spans="1:18" x14ac:dyDescent="0.2">
      <c r="A16" s="1">
        <f t="shared" si="0"/>
        <v>37100.519999999997</v>
      </c>
      <c r="B16">
        <v>0.44666068098625594</v>
      </c>
      <c r="C16">
        <v>8.9252887754822083E-2</v>
      </c>
      <c r="D16">
        <v>0.22951679612629877</v>
      </c>
      <c r="E16">
        <v>0.11877116594097727</v>
      </c>
      <c r="F16">
        <v>2.0109952103359401E-2</v>
      </c>
      <c r="G16">
        <v>2.0144349886890015E-2</v>
      </c>
      <c r="H16">
        <v>0.27039539832113546</v>
      </c>
      <c r="I16">
        <v>0.95085329231670701</v>
      </c>
      <c r="J16">
        <v>2.1292021215705725E-2</v>
      </c>
      <c r="K16">
        <v>6.626305850697399E-2</v>
      </c>
      <c r="L16">
        <v>8.6441167967620705E-2</v>
      </c>
      <c r="M16">
        <v>1.1908529048207663</v>
      </c>
      <c r="N16">
        <v>0.85257193318124957</v>
      </c>
      <c r="O16">
        <v>0.51233678879480893</v>
      </c>
      <c r="P16">
        <v>0.13705280627874331</v>
      </c>
      <c r="Q16">
        <v>7.2763762806002191E-2</v>
      </c>
      <c r="R16">
        <v>30000</v>
      </c>
    </row>
    <row r="17" spans="1:18" x14ac:dyDescent="0.2">
      <c r="A17" s="1">
        <f t="shared" si="0"/>
        <v>37100.519999999997</v>
      </c>
      <c r="B17">
        <v>0.42837212514676432</v>
      </c>
      <c r="C17">
        <v>9.4301314237111425E-2</v>
      </c>
      <c r="D17">
        <v>0.18101482901240795</v>
      </c>
      <c r="E17">
        <v>9.8028543783260758E-2</v>
      </c>
      <c r="F17">
        <v>1.2709755207238698E-2</v>
      </c>
      <c r="G17">
        <v>2.0934324392258247E-2</v>
      </c>
      <c r="H17">
        <v>0.23644398718638204</v>
      </c>
      <c r="I17">
        <v>0.94231513743708872</v>
      </c>
      <c r="J17">
        <v>1.8010455221887281E-2</v>
      </c>
      <c r="K17">
        <v>5.8126058660961044E-2</v>
      </c>
      <c r="L17">
        <v>7.5262599980726611E-2</v>
      </c>
      <c r="M17">
        <v>1.2186935437862507</v>
      </c>
      <c r="N17">
        <v>0.81024357936566338</v>
      </c>
      <c r="O17">
        <v>0.55114346759515709</v>
      </c>
      <c r="P17">
        <v>0.12085960463150384</v>
      </c>
      <c r="Q17">
        <v>6.1002076964364889E-2</v>
      </c>
      <c r="R17">
        <v>30000</v>
      </c>
    </row>
    <row r="18" spans="1:18" x14ac:dyDescent="0.2">
      <c r="A18" s="1">
        <f t="shared" si="0"/>
        <v>43283.939999999995</v>
      </c>
      <c r="B18">
        <v>0.58376959734788314</v>
      </c>
      <c r="C18">
        <v>0.10930940818174337</v>
      </c>
      <c r="D18">
        <v>0.2540233363596624</v>
      </c>
      <c r="E18">
        <v>0.13830430575713595</v>
      </c>
      <c r="F18">
        <v>2.5751357808922268E-2</v>
      </c>
      <c r="G18">
        <v>2.3555603432798302E-2</v>
      </c>
      <c r="H18">
        <v>0.31497805940717533</v>
      </c>
      <c r="I18">
        <v>1.0475981207688527</v>
      </c>
      <c r="J18">
        <v>2.5756477277063376E-2</v>
      </c>
      <c r="K18">
        <v>7.2617050418601628E-2</v>
      </c>
      <c r="L18">
        <v>8.3983810349812088E-2</v>
      </c>
      <c r="M18">
        <v>1.1342588190548635</v>
      </c>
      <c r="N18">
        <v>0.96004120980204577</v>
      </c>
      <c r="O18">
        <v>0.67148848619134283</v>
      </c>
      <c r="P18">
        <v>0.17412344989646586</v>
      </c>
      <c r="Q18">
        <v>8.4805488786726085E-2</v>
      </c>
      <c r="R18">
        <v>35000</v>
      </c>
    </row>
    <row r="19" spans="1:18" x14ac:dyDescent="0.2">
      <c r="A19" s="1">
        <f t="shared" si="0"/>
        <v>43283.939999999995</v>
      </c>
      <c r="B19">
        <v>0.61498722287450791</v>
      </c>
      <c r="C19">
        <v>0.10741624825088485</v>
      </c>
      <c r="D19">
        <v>0.25800464037122967</v>
      </c>
      <c r="E19">
        <v>0.1394230769230769</v>
      </c>
      <c r="F19">
        <v>2.6514606816145481E-2</v>
      </c>
      <c r="G19">
        <v>2.3160616180114186E-2</v>
      </c>
      <c r="H19">
        <v>0.33115875947966111</v>
      </c>
      <c r="I19">
        <v>1.2094254533278925</v>
      </c>
      <c r="J19">
        <v>2.3390697141984964E-2</v>
      </c>
      <c r="K19">
        <v>7.2552213766442164E-2</v>
      </c>
      <c r="L19">
        <v>7.863544376987569E-2</v>
      </c>
      <c r="M19">
        <v>1.3606351621184747</v>
      </c>
      <c r="N19">
        <v>1.1200824196040917</v>
      </c>
      <c r="O19">
        <v>0.72906544274748752</v>
      </c>
      <c r="P19">
        <v>0.17086619669156136</v>
      </c>
      <c r="Q19">
        <v>8.2565167674033282E-2</v>
      </c>
      <c r="R19">
        <v>35000</v>
      </c>
    </row>
    <row r="20" spans="1:18" x14ac:dyDescent="0.2">
      <c r="A20" s="1">
        <f t="shared" si="0"/>
        <v>49467.359999999993</v>
      </c>
      <c r="B20">
        <v>0.70510394364251683</v>
      </c>
      <c r="C20">
        <v>0.12105248717315555</v>
      </c>
      <c r="D20">
        <v>0.29321766031137564</v>
      </c>
      <c r="E20">
        <v>0.15738388969521044</v>
      </c>
      <c r="F20">
        <v>3.0861807683373335E-2</v>
      </c>
      <c r="G20">
        <v>2.6679593522209055E-2</v>
      </c>
      <c r="H20">
        <v>0.37496200341384711</v>
      </c>
      <c r="I20">
        <v>1.0822948383923994</v>
      </c>
      <c r="J20">
        <v>3.3693288052810313E-2</v>
      </c>
      <c r="K20">
        <v>8.3574444633551348E-2</v>
      </c>
      <c r="L20">
        <v>8.9621277825961257E-2</v>
      </c>
      <c r="M20">
        <v>1.1654654369116666</v>
      </c>
      <c r="N20">
        <v>1.1307969681359924</v>
      </c>
      <c r="O20">
        <v>0.76565640579251404</v>
      </c>
      <c r="P20">
        <v>0.19323266869857222</v>
      </c>
      <c r="Q20">
        <v>9.2506592611607666E-2</v>
      </c>
      <c r="R20">
        <v>40000</v>
      </c>
    </row>
    <row r="21" spans="1:18" x14ac:dyDescent="0.2">
      <c r="A21" s="1">
        <f t="shared" si="0"/>
        <v>49467.359999999993</v>
      </c>
      <c r="B21">
        <v>0.66220042820636782</v>
      </c>
      <c r="C21">
        <v>0.10925453398084892</v>
      </c>
      <c r="D21">
        <v>0.26924913413362922</v>
      </c>
      <c r="E21">
        <v>0.13812288340590226</v>
      </c>
      <c r="F21">
        <v>2.7974735351702928E-2</v>
      </c>
      <c r="G21">
        <v>2.3519695500736112E-2</v>
      </c>
      <c r="H21">
        <v>0.3323746502365531</v>
      </c>
      <c r="I21">
        <v>1.1001663684590515</v>
      </c>
      <c r="J21">
        <v>2.9534093944366006E-2</v>
      </c>
      <c r="K21">
        <v>6.8629596310794488E-2</v>
      </c>
      <c r="L21">
        <v>7.9840030837428938E-2</v>
      </c>
      <c r="M21">
        <v>1.0893791005039459</v>
      </c>
      <c r="N21">
        <v>1.0525572153948046</v>
      </c>
      <c r="O21">
        <v>0.73485795679354271</v>
      </c>
      <c r="P21">
        <v>0.18138247132453875</v>
      </c>
      <c r="Q21">
        <v>7.5470817483839353E-2</v>
      </c>
      <c r="R21">
        <v>40000</v>
      </c>
    </row>
    <row r="22" spans="1:18" x14ac:dyDescent="0.2">
      <c r="A22" s="1">
        <f t="shared" si="0"/>
        <v>55650.78</v>
      </c>
      <c r="B22">
        <v>0.21788797568892879</v>
      </c>
      <c r="C22">
        <v>6.6342908881389426E-2</v>
      </c>
      <c r="D22">
        <v>0.13062981270385687</v>
      </c>
      <c r="E22">
        <v>7.2236332849540397E-2</v>
      </c>
      <c r="F22">
        <v>1.3207526298906008E-2</v>
      </c>
      <c r="G22">
        <v>2.1185679916693595E-2</v>
      </c>
      <c r="H22">
        <v>0.14285157559177247</v>
      </c>
      <c r="I22">
        <v>0.5004028418662565</v>
      </c>
      <c r="J22">
        <v>1.3088106231159613E-2</v>
      </c>
      <c r="K22">
        <v>5.0280823749665686E-2</v>
      </c>
      <c r="L22">
        <v>5.7771995759853527E-2</v>
      </c>
      <c r="M22">
        <v>0.83453456308833318</v>
      </c>
      <c r="N22">
        <v>0.4213113547722423</v>
      </c>
      <c r="O22">
        <v>0.27617314235973728</v>
      </c>
      <c r="P22">
        <v>7.832918421317947E-2</v>
      </c>
      <c r="Q22">
        <v>4.536650253202959E-2</v>
      </c>
      <c r="R22">
        <v>45000</v>
      </c>
    </row>
    <row r="23" spans="1:18" x14ac:dyDescent="0.2">
      <c r="A23" s="1">
        <f t="shared" si="0"/>
        <v>55650.78</v>
      </c>
      <c r="B23">
        <v>0.85768354168105543</v>
      </c>
      <c r="C23">
        <v>0.11907701594095538</v>
      </c>
      <c r="D23">
        <v>0.3529103197821043</v>
      </c>
      <c r="E23">
        <v>0.17050677310111273</v>
      </c>
      <c r="F23">
        <v>2.6514606816145481E-2</v>
      </c>
      <c r="G23">
        <v>2.1544759237315522E-2</v>
      </c>
      <c r="H23">
        <v>0.42606059188938511</v>
      </c>
      <c r="I23">
        <v>1.2244718586182002</v>
      </c>
      <c r="J23">
        <v>2.9381462967909337E-2</v>
      </c>
      <c r="K23">
        <v>7.8257839156475162E-2</v>
      </c>
      <c r="L23">
        <v>7.9936397802833195E-2</v>
      </c>
      <c r="M23">
        <v>1.1492060473519063</v>
      </c>
      <c r="N23">
        <v>1.2629038192655824</v>
      </c>
      <c r="O23">
        <v>0.98232175358075491</v>
      </c>
      <c r="P23">
        <v>0.20821603344113288</v>
      </c>
      <c r="Q23">
        <v>0.10412825838370167</v>
      </c>
      <c r="R23">
        <v>45000</v>
      </c>
    </row>
    <row r="24" spans="1:18" x14ac:dyDescent="0.2">
      <c r="A24" s="1">
        <f t="shared" si="0"/>
        <v>61834.2</v>
      </c>
      <c r="B24">
        <v>0.9312797845155053</v>
      </c>
      <c r="C24">
        <v>0.14152056410678521</v>
      </c>
      <c r="D24">
        <v>0.42782877702679978</v>
      </c>
      <c r="E24">
        <v>0.2091799709724238</v>
      </c>
      <c r="F24">
        <v>3.5209008550601197E-2</v>
      </c>
      <c r="G24">
        <v>2.890588531006499E-2</v>
      </c>
      <c r="H24">
        <v>0.47556916937514132</v>
      </c>
      <c r="I24">
        <v>1.1110064768601355</v>
      </c>
      <c r="J24">
        <v>3.9951158087533863E-2</v>
      </c>
      <c r="K24">
        <v>9.4531838848501054E-2</v>
      </c>
      <c r="L24">
        <v>9.3909607786450799E-2</v>
      </c>
      <c r="M24">
        <v>1.0101930208234287</v>
      </c>
      <c r="N24">
        <v>1.2178379571712414</v>
      </c>
      <c r="O24">
        <v>1.0148611221017647</v>
      </c>
      <c r="P24">
        <v>0.25288693453696592</v>
      </c>
      <c r="Q24">
        <v>9.1106391916174645E-2</v>
      </c>
      <c r="R24">
        <v>50000</v>
      </c>
    </row>
    <row r="25" spans="1:18" x14ac:dyDescent="0.2">
      <c r="A25" s="1">
        <f t="shared" si="0"/>
        <v>61834.2</v>
      </c>
      <c r="B25">
        <v>0.95393328268526834</v>
      </c>
      <c r="C25">
        <v>0.13831042335445992</v>
      </c>
      <c r="D25">
        <v>0.39431050136184803</v>
      </c>
      <c r="E25">
        <v>0.19251935171746493</v>
      </c>
      <c r="F25">
        <v>3.481079167726734E-2</v>
      </c>
      <c r="G25">
        <v>2.890588531006499E-2</v>
      </c>
      <c r="H25">
        <v>0.48813337386302519</v>
      </c>
      <c r="I25">
        <v>1.201598811354909</v>
      </c>
      <c r="J25">
        <v>4.327088182546647E-2</v>
      </c>
      <c r="K25">
        <v>0.1030578586074708</v>
      </c>
      <c r="L25">
        <v>0.10084802929555749</v>
      </c>
      <c r="M25">
        <v>1.090881430065608</v>
      </c>
      <c r="N25">
        <v>1.3253072337920375</v>
      </c>
      <c r="O25">
        <v>0.99362190393289551</v>
      </c>
      <c r="P25">
        <v>0.25580295169183281</v>
      </c>
      <c r="Q25">
        <v>0.12116403351146998</v>
      </c>
      <c r="R25">
        <v>50000</v>
      </c>
    </row>
    <row r="26" spans="1:18" x14ac:dyDescent="0.2">
      <c r="A26" s="1">
        <f t="shared" si="0"/>
        <v>74201.039999999994</v>
      </c>
      <c r="B26">
        <v>1.1183921541542925</v>
      </c>
      <c r="C26">
        <v>0.16176914423683705</v>
      </c>
      <c r="D26">
        <v>0.55692524967214763</v>
      </c>
      <c r="E26">
        <v>0.27270803096274793</v>
      </c>
      <c r="F26">
        <v>4.8615643286174126E-2</v>
      </c>
      <c r="G26">
        <v>3.5153865488886493E-2</v>
      </c>
      <c r="H26">
        <v>0.6021153381501313</v>
      </c>
      <c r="I26">
        <v>1.0349583032509861</v>
      </c>
      <c r="J26">
        <v>5.5633990918456895E-2</v>
      </c>
      <c r="K26">
        <v>0.12127695786428067</v>
      </c>
      <c r="L26">
        <v>0.12200057820179241</v>
      </c>
      <c r="M26">
        <v>0.96409622515926596</v>
      </c>
      <c r="N26">
        <v>1.2173081168592244</v>
      </c>
      <c r="O26">
        <v>1.0998179947772413</v>
      </c>
      <c r="P26">
        <v>0.31105217033883187</v>
      </c>
      <c r="Q26">
        <v>0.1269982030757742</v>
      </c>
      <c r="R26">
        <v>60000</v>
      </c>
    </row>
    <row r="27" spans="1:18" x14ac:dyDescent="0.2">
      <c r="A27" s="1">
        <f t="shared" si="0"/>
        <v>74201.039999999994</v>
      </c>
      <c r="B27">
        <v>1.1643898059258238</v>
      </c>
      <c r="C27">
        <v>0.17592668806760503</v>
      </c>
      <c r="D27">
        <v>0.51676250042032346</v>
      </c>
      <c r="E27">
        <v>0.25347726173197871</v>
      </c>
      <c r="F27">
        <v>4.1912325918387665E-2</v>
      </c>
      <c r="G27">
        <v>3.8349671442421629E-2</v>
      </c>
      <c r="H27">
        <v>0.58995643058121139</v>
      </c>
      <c r="I27">
        <v>1.0960856326709985</v>
      </c>
      <c r="J27">
        <v>4.9643225092532529E-2</v>
      </c>
      <c r="K27">
        <v>0.12669081831959605</v>
      </c>
      <c r="L27">
        <v>0.13414281584272911</v>
      </c>
      <c r="M27">
        <v>0.99516972520680802</v>
      </c>
      <c r="N27">
        <v>1.2664949591581425</v>
      </c>
      <c r="O27">
        <v>1.1796470681332594</v>
      </c>
      <c r="P27">
        <v>0.3143404450028307</v>
      </c>
      <c r="Q27">
        <v>0.17763879489393478</v>
      </c>
      <c r="R27">
        <v>60000</v>
      </c>
    </row>
    <row r="28" spans="1:18" x14ac:dyDescent="0.2">
      <c r="A28" s="1">
        <f t="shared" si="0"/>
        <v>86567.87999999999</v>
      </c>
      <c r="B28">
        <v>1.3061399267905243</v>
      </c>
      <c r="C28">
        <v>0.22594452218289576</v>
      </c>
      <c r="D28">
        <v>0.71025925552305047</v>
      </c>
      <c r="E28">
        <v>0.35117319787131107</v>
      </c>
      <c r="F28">
        <v>6.4046547127860801E-2</v>
      </c>
      <c r="G28">
        <v>4.2802255018133506E-2</v>
      </c>
      <c r="H28">
        <v>0.75993172305749757</v>
      </c>
      <c r="I28">
        <v>0.98538259513869275</v>
      </c>
      <c r="J28">
        <v>7.2766818025718313E-2</v>
      </c>
      <c r="K28">
        <v>0.15810417629085721</v>
      </c>
      <c r="L28">
        <v>0.16228196974077286</v>
      </c>
      <c r="M28">
        <v>0.92644290196824186</v>
      </c>
      <c r="N28">
        <v>1.1710059607035102</v>
      </c>
      <c r="O28">
        <v>1.1405238585107225</v>
      </c>
      <c r="P28">
        <v>0.40830444459955167</v>
      </c>
      <c r="Q28">
        <v>0.1902406011528319</v>
      </c>
      <c r="R28">
        <v>70000</v>
      </c>
    </row>
    <row r="29" spans="1:18" x14ac:dyDescent="0.2">
      <c r="A29" s="1">
        <f t="shared" si="0"/>
        <v>86567.87999999999</v>
      </c>
      <c r="B29">
        <v>1.3024656398922578</v>
      </c>
      <c r="C29">
        <v>0.22169177161357589</v>
      </c>
      <c r="D29">
        <v>0.66495847204008207</v>
      </c>
      <c r="E29">
        <v>0.34182994678277695</v>
      </c>
      <c r="F29">
        <v>4.8151056933951303E-2</v>
      </c>
      <c r="G29">
        <v>4.7254838593845376E-2</v>
      </c>
      <c r="H29">
        <v>0.81436621694297007</v>
      </c>
      <c r="I29">
        <v>1.035795377258792</v>
      </c>
      <c r="J29">
        <v>6.0327393444499562E-2</v>
      </c>
      <c r="K29">
        <v>0.14944848322756854</v>
      </c>
      <c r="L29">
        <v>0.15534354823166618</v>
      </c>
      <c r="M29">
        <v>0.96788057430826269</v>
      </c>
      <c r="N29">
        <v>1.2113032599896976</v>
      </c>
      <c r="O29">
        <v>1.1778428424467833</v>
      </c>
      <c r="P29">
        <v>0.42248125140565984</v>
      </c>
      <c r="Q29">
        <v>0.18221278383234929</v>
      </c>
      <c r="R29">
        <v>70000</v>
      </c>
    </row>
    <row r="30" spans="1:18" x14ac:dyDescent="0.2">
      <c r="A30" s="1">
        <f t="shared" si="0"/>
        <v>98934.719999999987</v>
      </c>
      <c r="B30">
        <v>1.3286552938738863</v>
      </c>
      <c r="C30">
        <v>0.27406919636732796</v>
      </c>
      <c r="D30">
        <v>0.84543528699687276</v>
      </c>
      <c r="E30">
        <v>0.44366835994194481</v>
      </c>
      <c r="F30">
        <v>8.2331338561773382E-2</v>
      </c>
      <c r="G30">
        <v>4.8439800351897731E-2</v>
      </c>
      <c r="H30">
        <v>0.90480978324409</v>
      </c>
      <c r="I30">
        <v>0.97253350911887493</v>
      </c>
      <c r="J30">
        <v>0.10085091769374593</v>
      </c>
      <c r="K30">
        <v>0.19441270150015805</v>
      </c>
      <c r="L30">
        <v>0.1722559506601137</v>
      </c>
      <c r="M30">
        <v>0.90841494722829697</v>
      </c>
      <c r="N30">
        <v>1.1035984987857825</v>
      </c>
      <c r="O30">
        <v>1.1746142280604572</v>
      </c>
      <c r="P30">
        <v>0.52401448702139697</v>
      </c>
      <c r="Q30">
        <v>0.20452264824624861</v>
      </c>
      <c r="R30">
        <v>80000</v>
      </c>
    </row>
    <row r="31" spans="1:18" x14ac:dyDescent="0.2">
      <c r="A31" s="1">
        <f t="shared" si="0"/>
        <v>98934.719999999987</v>
      </c>
      <c r="B31">
        <v>1.682353753712273</v>
      </c>
      <c r="C31">
        <v>0.3204104590226905</v>
      </c>
      <c r="D31">
        <v>0.99871549144221383</v>
      </c>
      <c r="E31">
        <v>0.51418118045476535</v>
      </c>
      <c r="F31">
        <v>7.9344712011769514E-2</v>
      </c>
      <c r="G31">
        <v>5.2246041150490141E-2</v>
      </c>
      <c r="H31">
        <v>1.0160170224705964</v>
      </c>
      <c r="I31">
        <v>1.2130248715614569</v>
      </c>
      <c r="J31">
        <v>0.10428511466402106</v>
      </c>
      <c r="K31">
        <v>0.21227519917009083</v>
      </c>
      <c r="L31">
        <v>0.17254505155632649</v>
      </c>
      <c r="M31">
        <v>1.1734525054673386</v>
      </c>
      <c r="N31">
        <v>1.411582897932151</v>
      </c>
      <c r="O31">
        <v>1.3789032207011158</v>
      </c>
      <c r="P31">
        <v>0.61738907889532579</v>
      </c>
      <c r="Q31">
        <v>0.19920188560360319</v>
      </c>
      <c r="R31">
        <v>80000</v>
      </c>
    </row>
    <row r="32" spans="1:18" x14ac:dyDescent="0.2">
      <c r="A32" s="1">
        <f t="shared" si="0"/>
        <v>111301.56</v>
      </c>
      <c r="B32">
        <v>1.4131915187512949</v>
      </c>
      <c r="C32">
        <v>0.33061706038905808</v>
      </c>
      <c r="D32">
        <v>1.0252126836813611</v>
      </c>
      <c r="E32">
        <v>0.54586961780358001</v>
      </c>
      <c r="F32">
        <v>0.10051657577735251</v>
      </c>
      <c r="G32">
        <v>6.2372077992028437E-2</v>
      </c>
      <c r="H32">
        <v>1.0255259117232134</v>
      </c>
      <c r="I32">
        <v>1.0471795837649496</v>
      </c>
      <c r="J32">
        <v>0.11882321517151906</v>
      </c>
      <c r="K32">
        <v>0.23833953333819607</v>
      </c>
      <c r="L32">
        <v>0.18319360123349715</v>
      </c>
      <c r="M32">
        <v>0.96202339070077014</v>
      </c>
      <c r="N32">
        <v>1.109838840238428</v>
      </c>
      <c r="O32">
        <v>1.1966764263670175</v>
      </c>
      <c r="P32">
        <v>0.61915730206370245</v>
      </c>
      <c r="Q32">
        <v>0.2261790856689459</v>
      </c>
      <c r="R32">
        <v>90000</v>
      </c>
    </row>
    <row r="33" spans="1:18" x14ac:dyDescent="0.2">
      <c r="A33" s="1">
        <f t="shared" si="0"/>
        <v>111301.56</v>
      </c>
      <c r="B33">
        <v>1.3722770909593205</v>
      </c>
      <c r="C33">
        <v>0.31152083847778972</v>
      </c>
      <c r="D33">
        <v>0.98190255220417633</v>
      </c>
      <c r="E33">
        <v>0.52107522980164489</v>
      </c>
      <c r="F33">
        <v>9.032886076789487E-2</v>
      </c>
      <c r="G33">
        <v>6.5352436353190421E-2</v>
      </c>
      <c r="H33">
        <v>1.0616908675692318</v>
      </c>
      <c r="I33">
        <v>1.0476399744692426</v>
      </c>
      <c r="J33">
        <v>0.14973098790399508</v>
      </c>
      <c r="K33">
        <v>0.22485350968902723</v>
      </c>
      <c r="L33">
        <v>0.20078057241977448</v>
      </c>
      <c r="M33">
        <v>1.0249881144813158</v>
      </c>
      <c r="N33">
        <v>1.1977923320332622</v>
      </c>
      <c r="O33">
        <v>1.1989237952045579</v>
      </c>
      <c r="P33">
        <v>0.60073055536167141</v>
      </c>
      <c r="Q33">
        <v>0.25278289888217309</v>
      </c>
      <c r="R33">
        <v>90000</v>
      </c>
    </row>
    <row r="34" spans="1:18" x14ac:dyDescent="0.2">
      <c r="A34" s="1">
        <f t="shared" si="0"/>
        <v>123668.4</v>
      </c>
      <c r="B34">
        <v>1.3942399336970785</v>
      </c>
      <c r="C34">
        <v>0.39838669849370323</v>
      </c>
      <c r="D34">
        <v>1.1855677729580685</v>
      </c>
      <c r="E34">
        <v>0.64746613449443635</v>
      </c>
      <c r="F34">
        <v>0.12600245567071888</v>
      </c>
      <c r="G34">
        <v>7.371898452368128E-2</v>
      </c>
      <c r="H34">
        <v>1.1595233084699261</v>
      </c>
      <c r="I34">
        <v>1.0360674263113288</v>
      </c>
      <c r="J34">
        <v>0.15873621551493874</v>
      </c>
      <c r="K34">
        <v>0.26972047298337748</v>
      </c>
      <c r="L34">
        <v>0.19909415052519996</v>
      </c>
      <c r="M34">
        <v>1.0207663782447465</v>
      </c>
      <c r="N34">
        <v>1.1594083449849142</v>
      </c>
      <c r="O34">
        <v>1.1954736092427001</v>
      </c>
      <c r="P34">
        <v>0.74594200538222311</v>
      </c>
      <c r="Q34">
        <v>0.26123077641128561</v>
      </c>
      <c r="R34">
        <v>100000</v>
      </c>
    </row>
    <row r="35" spans="1:18" x14ac:dyDescent="0.2">
      <c r="A35" s="1">
        <f t="shared" si="0"/>
        <v>123668.4</v>
      </c>
      <c r="B35">
        <v>1.3073278541335727</v>
      </c>
      <c r="C35">
        <v>0.33207122671276101</v>
      </c>
      <c r="D35">
        <v>1.0233296344867011</v>
      </c>
      <c r="E35">
        <v>0.57622762457668109</v>
      </c>
      <c r="F35">
        <v>8.6114398858444963E-2</v>
      </c>
      <c r="G35">
        <v>6.1833459011095541E-2</v>
      </c>
      <c r="H35">
        <v>1.0637797055362002</v>
      </c>
      <c r="I35">
        <v>0.92159755574389723</v>
      </c>
      <c r="J35">
        <v>0.11649559278055481</v>
      </c>
      <c r="K35">
        <v>0.22559913118886105</v>
      </c>
      <c r="L35">
        <v>0.19307121518743375</v>
      </c>
      <c r="M35">
        <v>0.89360083674051527</v>
      </c>
      <c r="N35">
        <v>1.028420045625138</v>
      </c>
      <c r="O35">
        <v>1.1135870855424548</v>
      </c>
      <c r="P35">
        <v>0.65923702721357491</v>
      </c>
      <c r="Q35">
        <v>0.22216517700870458</v>
      </c>
      <c r="R35">
        <v>100000</v>
      </c>
    </row>
    <row r="36" spans="1:18" x14ac:dyDescent="0.2">
      <c r="A36" s="1">
        <f t="shared" si="0"/>
        <v>136035.24</v>
      </c>
      <c r="B36">
        <v>1.4070584985150909</v>
      </c>
      <c r="C36">
        <v>0.49353856284467867</v>
      </c>
      <c r="D36">
        <v>1.3172467130703789</v>
      </c>
      <c r="E36">
        <v>0.80058659893565554</v>
      </c>
      <c r="F36">
        <v>0.14740661261241331</v>
      </c>
      <c r="G36">
        <v>8.8692592193615569E-2</v>
      </c>
      <c r="H36">
        <v>1.2674569956586466</v>
      </c>
      <c r="I36">
        <v>1.0991200259492944</v>
      </c>
      <c r="J36">
        <v>0.19487159919105579</v>
      </c>
      <c r="K36">
        <v>0.34418536798852389</v>
      </c>
      <c r="L36">
        <v>0.29912306061482125</v>
      </c>
      <c r="M36">
        <v>1.0778549015879053</v>
      </c>
      <c r="N36">
        <v>1.2572521892707338</v>
      </c>
      <c r="O36">
        <v>1.3265490227110865</v>
      </c>
      <c r="P36">
        <v>0.93877139511256902</v>
      </c>
      <c r="Q36">
        <v>0.39219621479078665</v>
      </c>
      <c r="R36">
        <v>110000</v>
      </c>
    </row>
    <row r="37" spans="1:18" x14ac:dyDescent="0.2">
      <c r="A37" s="1">
        <f t="shared" si="0"/>
        <v>136035.24</v>
      </c>
      <c r="B37">
        <v>1.240555286967332</v>
      </c>
      <c r="C37">
        <v>0.39517655774137789</v>
      </c>
      <c r="D37">
        <v>1.1527489155654191</v>
      </c>
      <c r="E37">
        <v>0.6457123850991775</v>
      </c>
      <c r="F37">
        <v>9.9786511509573794E-2</v>
      </c>
      <c r="G37">
        <v>9.3935150274695678E-2</v>
      </c>
      <c r="H37">
        <v>1.0989470074278456</v>
      </c>
      <c r="I37">
        <v>0.96832721222965135</v>
      </c>
      <c r="J37">
        <v>0.15369939329186857</v>
      </c>
      <c r="K37">
        <v>0.28936597858769564</v>
      </c>
      <c r="L37">
        <v>0.27816324563939482</v>
      </c>
      <c r="M37">
        <v>0.94186555101264613</v>
      </c>
      <c r="N37">
        <v>1.0571197291927295</v>
      </c>
      <c r="O37">
        <v>1.1266914615810715</v>
      </c>
      <c r="P37">
        <v>0.72348246899792934</v>
      </c>
      <c r="Q37">
        <v>0.43555576299269561</v>
      </c>
      <c r="R37">
        <v>110000</v>
      </c>
    </row>
    <row r="38" spans="1:18" x14ac:dyDescent="0.2">
      <c r="A38" s="1">
        <f t="shared" si="0"/>
        <v>160768.91999999998</v>
      </c>
      <c r="B38">
        <v>1.1905242074728917</v>
      </c>
      <c r="C38">
        <v>0.48014925782643292</v>
      </c>
      <c r="D38">
        <v>1.2144860284474932</v>
      </c>
      <c r="E38">
        <v>0.80119134010643434</v>
      </c>
      <c r="F38">
        <v>0.14611240777407827</v>
      </c>
      <c r="G38">
        <v>7.2605838629753297E-2</v>
      </c>
      <c r="H38">
        <v>1.1612380262040047</v>
      </c>
      <c r="I38">
        <v>0.92517604712726664</v>
      </c>
      <c r="J38">
        <v>0.21627809363910405</v>
      </c>
      <c r="K38">
        <v>0.3170512290597875</v>
      </c>
      <c r="L38">
        <v>0.21215187433747712</v>
      </c>
      <c r="M38">
        <v>0.94365313302272502</v>
      </c>
      <c r="N38">
        <v>1.0548531900802121</v>
      </c>
      <c r="O38">
        <v>1.0434438553454142</v>
      </c>
      <c r="P38">
        <v>0.85836377314006962</v>
      </c>
      <c r="Q38">
        <v>0.30216331007444402</v>
      </c>
      <c r="R38">
        <v>130000</v>
      </c>
    </row>
    <row r="39" spans="1:18" x14ac:dyDescent="0.2">
      <c r="A39" s="1">
        <f t="shared" si="0"/>
        <v>160768.91999999998</v>
      </c>
      <c r="B39">
        <v>1.2280958629739622</v>
      </c>
      <c r="C39">
        <v>0.44933739402419959</v>
      </c>
      <c r="D39">
        <v>1.2448838225898653</v>
      </c>
      <c r="E39">
        <v>0.79202951136913402</v>
      </c>
      <c r="F39">
        <v>0.11352499363959159</v>
      </c>
      <c r="G39">
        <v>6.7435096412797588E-2</v>
      </c>
      <c r="H39">
        <v>1.1774187262764904</v>
      </c>
      <c r="I39">
        <v>0.94786075273880155</v>
      </c>
      <c r="J39">
        <v>0.19704659060556337</v>
      </c>
      <c r="K39">
        <v>0.28430871971925731</v>
      </c>
      <c r="L39">
        <v>0.20834537920400886</v>
      </c>
      <c r="M39">
        <v>0.97059998098317002</v>
      </c>
      <c r="N39">
        <v>1.0395466921774965</v>
      </c>
      <c r="O39">
        <v>1.009670016617868</v>
      </c>
      <c r="P39">
        <v>0.8393476187152461</v>
      </c>
      <c r="Q39">
        <v>0.28554759515530559</v>
      </c>
      <c r="R39">
        <v>130000</v>
      </c>
    </row>
    <row r="40" spans="1:18" x14ac:dyDescent="0.2">
      <c r="A40" s="1">
        <f t="shared" si="0"/>
        <v>185502.59999999998</v>
      </c>
      <c r="B40">
        <v>1.1226742178327234</v>
      </c>
      <c r="C40">
        <v>0.56816747606112983</v>
      </c>
      <c r="D40">
        <v>1.2129526883889843</v>
      </c>
      <c r="E40">
        <v>0.90980285437832598</v>
      </c>
      <c r="F40">
        <v>0.19369932413747329</v>
      </c>
      <c r="G40">
        <v>0.11917842651441701</v>
      </c>
      <c r="H40">
        <v>1.2168884108463691</v>
      </c>
      <c r="I40">
        <v>0.91000408073578809</v>
      </c>
      <c r="J40">
        <v>0.31316060594497652</v>
      </c>
      <c r="K40">
        <v>0.41456555390762395</v>
      </c>
      <c r="L40">
        <v>0.30191770261154471</v>
      </c>
      <c r="M40">
        <v>0.9619853570409812</v>
      </c>
      <c r="N40">
        <v>1.0685996026197659</v>
      </c>
      <c r="O40">
        <v>1.004605523462847</v>
      </c>
      <c r="P40">
        <v>0.93318753247558983</v>
      </c>
      <c r="Q40">
        <v>0.37763412755828335</v>
      </c>
      <c r="R40">
        <v>150000</v>
      </c>
    </row>
    <row r="41" spans="1:18" x14ac:dyDescent="0.2">
      <c r="A41" s="1">
        <f t="shared" si="0"/>
        <v>185502.59999999998</v>
      </c>
      <c r="B41">
        <v>1.1149665032115479</v>
      </c>
      <c r="C41">
        <v>0.56800285345844659</v>
      </c>
      <c r="D41">
        <v>1.2339890379636169</v>
      </c>
      <c r="E41">
        <v>0.90411828737300426</v>
      </c>
      <c r="F41">
        <v>0.16174242005243186</v>
      </c>
      <c r="G41">
        <v>9.0559804660849577E-2</v>
      </c>
      <c r="H41">
        <v>1.2169819409045914</v>
      </c>
      <c r="I41">
        <v>0.9258875600339016</v>
      </c>
      <c r="J41">
        <v>0.23543328118441634</v>
      </c>
      <c r="K41">
        <v>0.35653675022490211</v>
      </c>
      <c r="L41">
        <v>0.21687385564228584</v>
      </c>
      <c r="M41">
        <v>0.93874679090995528</v>
      </c>
      <c r="N41">
        <v>1.0612407093973066</v>
      </c>
      <c r="O41">
        <v>1.036037034106196</v>
      </c>
      <c r="P41">
        <v>0.8892301249389265</v>
      </c>
      <c r="Q41">
        <v>0.3087909266994936</v>
      </c>
      <c r="R41">
        <v>150000</v>
      </c>
    </row>
    <row r="42" spans="1:18" x14ac:dyDescent="0.2">
      <c r="A42" s="1">
        <f t="shared" si="0"/>
        <v>210236.27999999997</v>
      </c>
      <c r="B42">
        <v>1.2028455003798606</v>
      </c>
      <c r="C42">
        <v>0.71188300820369321</v>
      </c>
      <c r="D42">
        <v>1.2902384074783955</v>
      </c>
      <c r="E42">
        <v>1.0798863086598935</v>
      </c>
      <c r="F42">
        <v>0.26723670674645755</v>
      </c>
      <c r="G42">
        <v>0.15548134582929368</v>
      </c>
      <c r="H42">
        <v>1.2251814093420941</v>
      </c>
      <c r="I42">
        <v>0.99996860972470736</v>
      </c>
      <c r="J42">
        <v>0.41137863929484486</v>
      </c>
      <c r="K42">
        <v>0.47236742930778769</v>
      </c>
      <c r="L42">
        <v>0.34846294690180202</v>
      </c>
      <c r="M42">
        <v>0.95871446229913471</v>
      </c>
      <c r="N42">
        <v>1.0589152991390096</v>
      </c>
      <c r="O42">
        <v>0.98700640974914922</v>
      </c>
      <c r="P42">
        <v>1.0802602700418014</v>
      </c>
      <c r="Q42">
        <v>0.45161139763366082</v>
      </c>
      <c r="R42">
        <v>170000</v>
      </c>
    </row>
    <row r="43" spans="1:18" x14ac:dyDescent="0.2">
      <c r="A43" s="1">
        <f t="shared" si="0"/>
        <v>210236.27999999997</v>
      </c>
      <c r="B43">
        <v>1.1367635886456247</v>
      </c>
      <c r="C43">
        <v>0.6472137624495844</v>
      </c>
      <c r="D43">
        <v>1.2454218366454823</v>
      </c>
      <c r="E43">
        <v>1.0397314949201741</v>
      </c>
      <c r="F43">
        <v>0.22047940886917469</v>
      </c>
      <c r="G43">
        <v>0.18776257675320479</v>
      </c>
      <c r="H43">
        <v>1.1632956874848988</v>
      </c>
      <c r="I43">
        <v>0.97711648931161132</v>
      </c>
      <c r="J43">
        <v>0.34525126874499179</v>
      </c>
      <c r="K43">
        <v>0.49502783923752097</v>
      </c>
      <c r="L43">
        <v>0.43610870193697598</v>
      </c>
      <c r="M43">
        <v>0.98003232861082046</v>
      </c>
      <c r="N43">
        <v>1.0796085068805652</v>
      </c>
      <c r="O43">
        <v>1.012360528606473</v>
      </c>
      <c r="P43">
        <v>1.041142210123853</v>
      </c>
      <c r="Q43">
        <v>0.61314788453011593</v>
      </c>
      <c r="R43">
        <v>170000</v>
      </c>
    </row>
    <row r="44" spans="1:18" x14ac:dyDescent="0.2">
      <c r="A44" s="1">
        <f t="shared" si="0"/>
        <v>234969.96</v>
      </c>
      <c r="B44">
        <v>1.1211547758823124</v>
      </c>
      <c r="C44">
        <v>0.73646665020440649</v>
      </c>
      <c r="D44">
        <v>1.2626651871280137</v>
      </c>
      <c r="E44">
        <v>1.0849056603773584</v>
      </c>
      <c r="F44">
        <v>0.32663739035209005</v>
      </c>
      <c r="G44">
        <v>0.18506948184854033</v>
      </c>
      <c r="H44">
        <v>1.1780734366840477</v>
      </c>
      <c r="I44">
        <v>0.96497891619842835</v>
      </c>
      <c r="J44">
        <v>0.48113099553554395</v>
      </c>
      <c r="K44">
        <v>0.53613427670662228</v>
      </c>
      <c r="L44">
        <v>0.37337380745880311</v>
      </c>
      <c r="M44">
        <v>0.98294190358467237</v>
      </c>
      <c r="N44">
        <v>1.0631540216351461</v>
      </c>
      <c r="O44">
        <v>0.99707208989475349</v>
      </c>
      <c r="P44">
        <v>1.045857471906191</v>
      </c>
      <c r="Q44">
        <v>0.47560150288207981</v>
      </c>
      <c r="R44">
        <v>190000</v>
      </c>
    </row>
    <row r="45" spans="1:18" x14ac:dyDescent="0.2">
      <c r="A45" s="1">
        <f t="shared" si="0"/>
        <v>234969.96</v>
      </c>
      <c r="B45">
        <v>1.0830305960356379</v>
      </c>
      <c r="C45">
        <v>0.63815951930200021</v>
      </c>
      <c r="D45">
        <v>1.1153300379972426</v>
      </c>
      <c r="E45">
        <v>1.0023282535074989</v>
      </c>
      <c r="F45">
        <v>0.23551209583752752</v>
      </c>
      <c r="G45">
        <v>0.13831735430356565</v>
      </c>
      <c r="H45">
        <v>1.0914334260839744</v>
      </c>
      <c r="I45">
        <v>0.90343304977451322</v>
      </c>
      <c r="J45">
        <v>0.39512344030220931</v>
      </c>
      <c r="K45">
        <v>0.42143823903652733</v>
      </c>
      <c r="L45">
        <v>0.30524236291799173</v>
      </c>
      <c r="M45">
        <v>0.902747931919749</v>
      </c>
      <c r="N45">
        <v>0.97263963499889616</v>
      </c>
      <c r="O45">
        <v>0.93623486587006399</v>
      </c>
      <c r="P45">
        <v>0.96628742932923839</v>
      </c>
      <c r="Q45">
        <v>0.36820610954236777</v>
      </c>
      <c r="R45">
        <v>190000</v>
      </c>
    </row>
    <row r="46" spans="1:18" x14ac:dyDescent="0.2">
      <c r="A46" s="1">
        <f t="shared" si="0"/>
        <v>259703.63999999998</v>
      </c>
      <c r="B46">
        <v>1.0284411906899649</v>
      </c>
      <c r="C46">
        <v>0.69769802727247798</v>
      </c>
      <c r="D46">
        <v>1.1006960556844547</v>
      </c>
      <c r="E46">
        <v>1.0200471698113207</v>
      </c>
      <c r="F46">
        <v>0.32209108104819528</v>
      </c>
      <c r="G46">
        <v>0.31146540270745804</v>
      </c>
      <c r="H46">
        <v>1.0742862487431899</v>
      </c>
      <c r="I46">
        <v>0.86871540530077118</v>
      </c>
      <c r="J46">
        <v>0.49425725951081767</v>
      </c>
      <c r="K46">
        <v>0.54122395390114031</v>
      </c>
      <c r="L46">
        <v>0.57593716873855638</v>
      </c>
      <c r="M46">
        <v>0.90854806503755825</v>
      </c>
      <c r="N46">
        <v>0.97596585473544784</v>
      </c>
      <c r="O46">
        <v>0.91778111893645631</v>
      </c>
      <c r="P46">
        <v>1.0175348797530692</v>
      </c>
      <c r="Q46">
        <v>0.66864250542577763</v>
      </c>
      <c r="R46">
        <v>210000</v>
      </c>
    </row>
    <row r="47" spans="1:18" x14ac:dyDescent="0.2">
      <c r="A47" s="1">
        <f t="shared" si="0"/>
        <v>259703.63999999998</v>
      </c>
      <c r="B47">
        <v>1.0716209682989157</v>
      </c>
      <c r="C47">
        <v>0.68957664554009934</v>
      </c>
      <c r="D47">
        <v>1.1084434580853426</v>
      </c>
      <c r="E47">
        <v>1.0322024673439767</v>
      </c>
      <c r="F47">
        <v>0.26663938143645677</v>
      </c>
      <c r="G47">
        <v>0.1871880498402097</v>
      </c>
      <c r="H47">
        <v>1.0743486021153381</v>
      </c>
      <c r="I47">
        <v>0.90326563497295209</v>
      </c>
      <c r="J47">
        <v>0.46079291792269239</v>
      </c>
      <c r="K47">
        <v>0.49985816982340114</v>
      </c>
      <c r="L47">
        <v>0.41254697889563458</v>
      </c>
      <c r="M47">
        <v>0.93167253018921747</v>
      </c>
      <c r="N47">
        <v>1.0054897343439546</v>
      </c>
      <c r="O47">
        <v>0.9555748991058004</v>
      </c>
      <c r="P47">
        <v>1.0055916180017526</v>
      </c>
      <c r="Q47">
        <v>0.52316165317028773</v>
      </c>
      <c r="R47">
        <v>210000</v>
      </c>
    </row>
    <row r="48" spans="1:18" x14ac:dyDescent="0.2">
      <c r="A48" s="1">
        <f t="shared" si="0"/>
        <v>284437.31999999995</v>
      </c>
      <c r="B48">
        <v>1.0119207127564058</v>
      </c>
      <c r="C48">
        <v>0.71973001893159938</v>
      </c>
      <c r="D48">
        <v>1.0284407680150645</v>
      </c>
      <c r="E48">
        <v>1.0143323657474599</v>
      </c>
      <c r="F48">
        <v>0.36416933066380541</v>
      </c>
      <c r="G48">
        <v>0.27688606413156663</v>
      </c>
      <c r="H48">
        <v>1.0161417292148931</v>
      </c>
      <c r="I48">
        <v>0.85222504734699855</v>
      </c>
      <c r="J48">
        <v>0.52237951692295947</v>
      </c>
      <c r="K48">
        <v>0.53555074683718706</v>
      </c>
      <c r="L48">
        <v>0.47475185506408407</v>
      </c>
      <c r="M48">
        <v>0.90569554055338974</v>
      </c>
      <c r="N48">
        <v>0.97811465155640587</v>
      </c>
      <c r="O48">
        <v>0.96168394397404433</v>
      </c>
      <c r="P48">
        <v>0.95943168686939184</v>
      </c>
      <c r="Q48">
        <v>0.54939207953139946</v>
      </c>
      <c r="R48">
        <v>230000</v>
      </c>
    </row>
    <row r="49" spans="1:18" x14ac:dyDescent="0.2">
      <c r="A49" s="1">
        <f t="shared" si="0"/>
        <v>284437.31999999995</v>
      </c>
      <c r="B49">
        <v>1.0212307479798328</v>
      </c>
      <c r="C49">
        <v>0.72968968639394205</v>
      </c>
      <c r="D49">
        <v>1.1687548337200311</v>
      </c>
      <c r="E49">
        <v>1.0793722786647315</v>
      </c>
      <c r="F49">
        <v>0.30788801256595466</v>
      </c>
      <c r="G49">
        <v>0.17756472404754209</v>
      </c>
      <c r="H49">
        <v>1.0304206514368557</v>
      </c>
      <c r="I49">
        <v>0.91423130447520695</v>
      </c>
      <c r="J49">
        <v>0.53745182584805584</v>
      </c>
      <c r="K49">
        <v>0.51052379910363332</v>
      </c>
      <c r="L49">
        <v>0.33434518647007805</v>
      </c>
      <c r="M49">
        <v>0.98410193020823422</v>
      </c>
      <c r="N49">
        <v>1.0555890794024578</v>
      </c>
      <c r="O49">
        <v>0.9023344148136424</v>
      </c>
      <c r="P49">
        <v>1.0405838238601552</v>
      </c>
      <c r="Q49">
        <v>0.42645445847238106</v>
      </c>
      <c r="R49">
        <v>230000</v>
      </c>
    </row>
    <row r="50" spans="1:18" x14ac:dyDescent="0.2">
      <c r="A50" s="1">
        <f t="shared" si="0"/>
        <v>309171</v>
      </c>
      <c r="B50">
        <v>1.0588024034809034</v>
      </c>
      <c r="C50">
        <v>0.82023211786978356</v>
      </c>
      <c r="D50">
        <v>1.1288072900904536</v>
      </c>
      <c r="E50">
        <v>1.1075834542815675</v>
      </c>
      <c r="F50">
        <v>0.39566164839662399</v>
      </c>
      <c r="G50">
        <v>0.221372401163417</v>
      </c>
      <c r="H50">
        <v>1.0678950280979884</v>
      </c>
      <c r="I50">
        <v>0.91946301702399269</v>
      </c>
      <c r="J50">
        <v>0.59155950700194604</v>
      </c>
      <c r="K50">
        <v>0.56871469441675382</v>
      </c>
      <c r="L50">
        <v>0.41996723523176255</v>
      </c>
      <c r="M50">
        <v>0.96940192069981923</v>
      </c>
      <c r="N50">
        <v>1.0264772978144086</v>
      </c>
      <c r="O50">
        <v>0.96019624910975709</v>
      </c>
      <c r="P50">
        <v>1.0584832057575828</v>
      </c>
      <c r="Q50">
        <v>0.53202959090803015</v>
      </c>
      <c r="R50">
        <v>250000</v>
      </c>
    </row>
    <row r="51" spans="1:18" x14ac:dyDescent="0.2">
      <c r="A51" s="1">
        <f t="shared" si="0"/>
        <v>309171</v>
      </c>
      <c r="B51">
        <v>1.0607362386905175</v>
      </c>
      <c r="C51">
        <v>0.80988833100117985</v>
      </c>
      <c r="D51">
        <v>1.0921147314973605</v>
      </c>
      <c r="E51">
        <v>1.1394230769230769</v>
      </c>
      <c r="F51">
        <v>0.3423669568487771</v>
      </c>
      <c r="G51">
        <v>0.22607634026356421</v>
      </c>
      <c r="H51">
        <v>1.0390254167933219</v>
      </c>
      <c r="I51">
        <v>0.96265603582676751</v>
      </c>
      <c r="J51">
        <v>0.51867821574388517</v>
      </c>
      <c r="K51">
        <v>0.58884647491226794</v>
      </c>
      <c r="L51">
        <v>0.42020815264527317</v>
      </c>
      <c r="M51">
        <v>1.0773224303508604</v>
      </c>
      <c r="N51">
        <v>1.0980646110824932</v>
      </c>
      <c r="O51">
        <v>1.0481918176782463</v>
      </c>
      <c r="P51">
        <v>1.0816872571601404</v>
      </c>
      <c r="Q51">
        <v>0.57328883806678954</v>
      </c>
      <c r="R51">
        <v>250000</v>
      </c>
    </row>
    <row r="52" spans="1:18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8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8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8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8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EF3-0D86-8348-AD5C-52F2E95518A9}">
  <dimension ref="A1:AA49"/>
  <sheetViews>
    <sheetView tabSelected="1" topLeftCell="C1" zoomScale="91" workbookViewId="0">
      <selection activeCell="E3" sqref="E3"/>
    </sheetView>
  </sheetViews>
  <sheetFormatPr baseColWidth="10" defaultColWidth="11" defaultRowHeight="16" x14ac:dyDescent="0.2"/>
  <cols>
    <col min="1" max="1" width="13" bestFit="1" customWidth="1"/>
    <col min="2" max="2" width="8.6640625" bestFit="1" customWidth="1"/>
    <col min="3" max="3" width="13.33203125" customWidth="1"/>
    <col min="4" max="4" width="12.1640625" bestFit="1" customWidth="1"/>
    <col min="7" max="7" width="13.1640625" bestFit="1" customWidth="1"/>
    <col min="10" max="10" width="13.83203125" bestFit="1" customWidth="1"/>
  </cols>
  <sheetData>
    <row r="1" spans="1:27" x14ac:dyDescent="0.2">
      <c r="A1" s="33" t="s">
        <v>52</v>
      </c>
      <c r="B1" s="33" t="s">
        <v>53</v>
      </c>
      <c r="C1" s="33" t="s">
        <v>54</v>
      </c>
      <c r="D1" s="33" t="s">
        <v>55</v>
      </c>
      <c r="E1" s="33" t="s">
        <v>56</v>
      </c>
      <c r="F1" s="33" t="s">
        <v>13</v>
      </c>
      <c r="J1" s="2" t="s">
        <v>57</v>
      </c>
      <c r="K1" s="2"/>
      <c r="L1" s="2" t="s">
        <v>58</v>
      </c>
    </row>
    <row r="2" spans="1:27" x14ac:dyDescent="0.2">
      <c r="A2" s="35" t="s">
        <v>27</v>
      </c>
      <c r="B2" s="36">
        <v>7.1033855308415078E-2</v>
      </c>
      <c r="C2" s="35">
        <v>2.7044785729339622E-7</v>
      </c>
      <c r="D2" s="35">
        <v>2.7044785729339621E-5</v>
      </c>
      <c r="E2" s="35">
        <v>18.63</v>
      </c>
      <c r="F2" s="33"/>
      <c r="J2" s="2" t="s">
        <v>59</v>
      </c>
      <c r="K2" s="17">
        <v>6.9999999999999994E-5</v>
      </c>
      <c r="L2" s="2" t="s">
        <v>60</v>
      </c>
    </row>
    <row r="3" spans="1:27" x14ac:dyDescent="0.2">
      <c r="A3" s="35" t="s">
        <v>31</v>
      </c>
      <c r="B3" s="36">
        <v>7.916175021784172E-2</v>
      </c>
      <c r="C3" s="35">
        <v>3.0139326709857025E-7</v>
      </c>
      <c r="D3" s="35">
        <v>3.0139326709857024E-5</v>
      </c>
      <c r="E3" s="31">
        <v>15.5</v>
      </c>
      <c r="F3" s="33"/>
      <c r="J3" s="2" t="s">
        <v>61</v>
      </c>
      <c r="K3" s="2">
        <v>0.93</v>
      </c>
      <c r="L3" s="2" t="s">
        <v>62</v>
      </c>
    </row>
    <row r="4" spans="1:27" x14ac:dyDescent="0.2">
      <c r="A4" s="35" t="s">
        <v>32</v>
      </c>
      <c r="B4" s="36">
        <v>5.0454639132858581E-2</v>
      </c>
      <c r="C4" s="35">
        <v>1.9209641634608893E-7</v>
      </c>
      <c r="D4" s="35">
        <v>1.9209641634608894E-5</v>
      </c>
      <c r="E4" s="31">
        <v>33.299999999999997</v>
      </c>
      <c r="F4" s="33"/>
      <c r="J4" s="2" t="s">
        <v>63</v>
      </c>
      <c r="K4" s="2">
        <v>1785</v>
      </c>
      <c r="L4" s="2" t="s">
        <v>62</v>
      </c>
    </row>
    <row r="5" spans="1:27" x14ac:dyDescent="0.2">
      <c r="A5" s="35" t="s">
        <v>33</v>
      </c>
      <c r="B5" s="36">
        <v>5.1652033094747189E-2</v>
      </c>
      <c r="C5" s="35">
        <v>1.9665526550221043E-7</v>
      </c>
      <c r="D5" s="35">
        <v>1.9665526550221043E-5</v>
      </c>
      <c r="E5" s="31">
        <v>32</v>
      </c>
      <c r="F5" s="33"/>
      <c r="J5" s="2" t="s">
        <v>64</v>
      </c>
      <c r="K5" s="18">
        <v>0.89</v>
      </c>
      <c r="L5" s="2" t="s">
        <v>65</v>
      </c>
    </row>
    <row r="6" spans="1:27" x14ac:dyDescent="0.2">
      <c r="A6" s="31" t="s">
        <v>38</v>
      </c>
      <c r="B6" s="36">
        <v>2.282832704392946E-2</v>
      </c>
      <c r="C6" s="35">
        <v>8.691450165301981E-8</v>
      </c>
      <c r="D6" s="35">
        <v>8.6914501653019809E-6</v>
      </c>
      <c r="E6" s="35">
        <v>128</v>
      </c>
      <c r="F6" s="33"/>
      <c r="J6" s="2" t="s">
        <v>66</v>
      </c>
      <c r="K6" s="8">
        <v>1.212920864E-2</v>
      </c>
      <c r="L6" s="2" t="s">
        <v>28</v>
      </c>
    </row>
    <row r="7" spans="1:27" x14ac:dyDescent="0.2">
      <c r="A7" s="31" t="s">
        <v>34</v>
      </c>
      <c r="B7" s="36">
        <v>2.0394609191157882E-2</v>
      </c>
      <c r="C7" s="35">
        <v>7.7648585060417457E-8</v>
      </c>
      <c r="D7" s="35">
        <v>7.764858506041746E-6</v>
      </c>
      <c r="E7" s="35">
        <v>155</v>
      </c>
      <c r="F7" s="33"/>
      <c r="J7" s="2" t="s">
        <v>67</v>
      </c>
      <c r="K7" s="2">
        <v>0.38100000000000001</v>
      </c>
      <c r="L7" s="2" t="s">
        <v>68</v>
      </c>
    </row>
    <row r="8" spans="1:27" x14ac:dyDescent="0.2">
      <c r="A8" s="31" t="s">
        <v>36</v>
      </c>
      <c r="B8" s="36">
        <v>1.8554049475036211E-2</v>
      </c>
      <c r="C8" s="35">
        <v>7.0641004952532216E-8</v>
      </c>
      <c r="D8" s="35">
        <v>7.064100495253221E-6</v>
      </c>
      <c r="E8" s="37">
        <v>182</v>
      </c>
      <c r="F8" s="33"/>
      <c r="J8" s="2" t="s">
        <v>69</v>
      </c>
      <c r="K8" s="2">
        <v>25</v>
      </c>
      <c r="L8" s="2" t="s">
        <v>70</v>
      </c>
    </row>
    <row r="9" spans="1:27" x14ac:dyDescent="0.2">
      <c r="A9" s="31" t="s">
        <v>43</v>
      </c>
      <c r="B9" s="36">
        <v>1.7054288019698483E-2</v>
      </c>
      <c r="C9" s="35">
        <v>6.4930949229296479E-8</v>
      </c>
      <c r="D9" s="35">
        <v>6.493094922929648E-6</v>
      </c>
      <c r="E9" s="35">
        <v>210</v>
      </c>
      <c r="F9" s="33"/>
      <c r="J9" s="8" t="s">
        <v>71</v>
      </c>
      <c r="K9" s="8">
        <v>1</v>
      </c>
      <c r="L9" s="2"/>
    </row>
    <row r="10" spans="1:27" x14ac:dyDescent="0.2">
      <c r="A10" s="31" t="s">
        <v>42</v>
      </c>
      <c r="B10" s="36">
        <v>1.5881590072717309E-2</v>
      </c>
      <c r="C10" s="35">
        <v>6.0466125440183472E-8</v>
      </c>
      <c r="D10" s="35">
        <v>6.0466125440183472E-6</v>
      </c>
      <c r="E10" s="31">
        <v>237</v>
      </c>
      <c r="F10" s="33"/>
      <c r="J10" s="8" t="s">
        <v>72</v>
      </c>
      <c r="K10" s="8">
        <v>1.5</v>
      </c>
      <c r="L10" s="2"/>
      <c r="Y10" s="4"/>
      <c r="Z10" s="4"/>
      <c r="AA10" s="5"/>
    </row>
    <row r="11" spans="1:27" x14ac:dyDescent="0.2">
      <c r="A11" s="31" t="s">
        <v>47</v>
      </c>
      <c r="B11" s="36">
        <v>1.4870615280996525E-2</v>
      </c>
      <c r="C11" s="35">
        <v>5.6617031722668E-8</v>
      </c>
      <c r="D11" s="35">
        <v>5.6617031722667997E-6</v>
      </c>
      <c r="E11" s="31">
        <v>265</v>
      </c>
      <c r="F11" s="33"/>
      <c r="J11" s="8" t="s">
        <v>73</v>
      </c>
      <c r="K11" s="8">
        <v>0.38100000000000001</v>
      </c>
      <c r="L11" s="2"/>
      <c r="Y11" s="6"/>
      <c r="Z11" s="7"/>
      <c r="AA11" s="7"/>
    </row>
    <row r="12" spans="1:27" x14ac:dyDescent="0.2">
      <c r="A12" s="31" t="s">
        <v>48</v>
      </c>
      <c r="B12" s="36">
        <v>1.4044628575987258E-2</v>
      </c>
      <c r="C12" s="35">
        <v>5.3472244866419118E-8</v>
      </c>
      <c r="D12" s="35">
        <v>5.3472244866419115E-6</v>
      </c>
      <c r="E12" s="31">
        <v>292</v>
      </c>
      <c r="F12" s="33"/>
      <c r="J12" s="8" t="s">
        <v>74</v>
      </c>
      <c r="K12" s="8">
        <v>1.05</v>
      </c>
      <c r="L12" s="2"/>
      <c r="Y12" s="6"/>
      <c r="Z12" s="7"/>
      <c r="AA12" s="7"/>
    </row>
    <row r="13" spans="1:27" x14ac:dyDescent="0.2">
      <c r="A13" s="33" t="s">
        <v>39</v>
      </c>
      <c r="B13" s="40">
        <v>2.5510302190007245E-2</v>
      </c>
      <c r="C13" s="33">
        <v>9.7125610544992798E-8</v>
      </c>
      <c r="D13" s="33">
        <v>9.7125610544992797E-6</v>
      </c>
      <c r="E13" s="33">
        <v>106</v>
      </c>
      <c r="F13" s="33"/>
      <c r="J13" s="8" t="s">
        <v>75</v>
      </c>
      <c r="K13" s="8">
        <v>1.6962843299999999</v>
      </c>
      <c r="L13" s="2"/>
      <c r="Y13" s="6"/>
      <c r="Z13" s="7"/>
      <c r="AA13" s="7"/>
    </row>
    <row r="14" spans="1:27" x14ac:dyDescent="0.2">
      <c r="A14" s="33" t="s">
        <v>40</v>
      </c>
      <c r="B14" s="33">
        <v>2.2220612793299517E-2</v>
      </c>
      <c r="C14" s="33">
        <v>8.460074554030521E-8</v>
      </c>
      <c r="D14" s="33">
        <v>8.4600745540305215E-6</v>
      </c>
      <c r="E14" s="33">
        <v>134</v>
      </c>
      <c r="F14" s="33"/>
      <c r="Y14" s="6"/>
      <c r="Z14" s="7"/>
      <c r="AA14" s="7"/>
    </row>
    <row r="15" spans="1:27" x14ac:dyDescent="0.2">
      <c r="A15" s="33" t="s">
        <v>37</v>
      </c>
      <c r="B15" s="33">
        <v>1.8146160807680205E-2</v>
      </c>
      <c r="C15" s="33">
        <v>6.9088046639601922E-8</v>
      </c>
      <c r="D15" s="33">
        <v>6.9088046639601926E-6</v>
      </c>
      <c r="E15" s="33">
        <v>189</v>
      </c>
      <c r="F15" s="33"/>
      <c r="Y15" s="6"/>
      <c r="Z15" s="7"/>
      <c r="AA15" s="7"/>
    </row>
    <row r="16" spans="1:27" x14ac:dyDescent="0.2">
      <c r="A16" s="38" t="s">
        <v>46</v>
      </c>
      <c r="B16" s="38">
        <v>1.9870848595142855E-2</v>
      </c>
      <c r="C16" s="39">
        <v>7.5654466476934123E-8</v>
      </c>
      <c r="D16" s="33">
        <v>7.5654466476934124E-6</v>
      </c>
      <c r="E16" s="33">
        <v>162</v>
      </c>
      <c r="F16" s="33"/>
      <c r="Y16" s="6"/>
      <c r="Z16" s="7"/>
      <c r="AA16" s="7"/>
    </row>
    <row r="17" spans="1:27" x14ac:dyDescent="0.2">
      <c r="A17" s="31" t="s">
        <v>44</v>
      </c>
      <c r="B17" s="32">
        <v>1.6728075294519282E-2</v>
      </c>
      <c r="C17" s="32">
        <v>6.3688956489869562E-8</v>
      </c>
      <c r="D17" s="33">
        <v>6.3688956489869564E-6</v>
      </c>
      <c r="E17" s="33">
        <v>217</v>
      </c>
      <c r="F17" s="33"/>
      <c r="Y17" s="6"/>
      <c r="Z17" s="7"/>
      <c r="AA17" s="7"/>
    </row>
    <row r="18" spans="1:27" x14ac:dyDescent="0.2">
      <c r="A18" s="31" t="s">
        <v>45</v>
      </c>
      <c r="B18" s="32">
        <v>1.4643998420678128E-2</v>
      </c>
      <c r="C18" s="32">
        <v>5.5754231244873766E-8</v>
      </c>
      <c r="D18" s="33">
        <v>5.5754231244873764E-6</v>
      </c>
      <c r="E18" s="33">
        <v>272</v>
      </c>
      <c r="F18" s="33"/>
      <c r="Y18" s="6"/>
      <c r="Z18" s="7"/>
      <c r="AA18" s="7"/>
    </row>
    <row r="19" spans="1:27" x14ac:dyDescent="0.2">
      <c r="A19" s="31" t="s">
        <v>76</v>
      </c>
      <c r="B19" s="32">
        <v>1.7815186442197203E-2</v>
      </c>
      <c r="C19" s="32">
        <v>6.7827924862805792E-8</v>
      </c>
      <c r="D19" s="33">
        <v>6.7827924862805785E-6</v>
      </c>
      <c r="E19" s="33">
        <v>195</v>
      </c>
      <c r="F19" s="33"/>
      <c r="Y19" s="6"/>
      <c r="Z19" s="7"/>
      <c r="AA19" s="7"/>
    </row>
    <row r="20" spans="1:27" x14ac:dyDescent="0.2">
      <c r="A20" s="31" t="s">
        <v>77</v>
      </c>
      <c r="B20" s="32">
        <v>1.5389839575275528E-2</v>
      </c>
      <c r="C20" s="32">
        <v>5.8593879202404849E-8</v>
      </c>
      <c r="D20" s="33">
        <v>5.8593879202404849E-6</v>
      </c>
      <c r="E20" s="33">
        <v>250</v>
      </c>
      <c r="F20" s="33"/>
      <c r="Y20" s="6"/>
      <c r="Z20" s="7"/>
      <c r="AA20" s="7"/>
    </row>
    <row r="21" spans="1:27" x14ac:dyDescent="0.2">
      <c r="A21" s="31" t="s">
        <v>78</v>
      </c>
      <c r="B21" s="32">
        <v>1.3688887441612715E-2</v>
      </c>
      <c r="C21" s="32">
        <v>5.2117828340313435E-8</v>
      </c>
      <c r="D21" s="33">
        <v>5.2117828340313436E-6</v>
      </c>
      <c r="E21" s="33">
        <v>305</v>
      </c>
      <c r="F21" s="33"/>
      <c r="Y21" s="6"/>
      <c r="Z21" s="7"/>
      <c r="AA21" s="7"/>
    </row>
    <row r="22" spans="1:27" x14ac:dyDescent="0.2">
      <c r="A22" s="31" t="s">
        <v>79</v>
      </c>
      <c r="B22" s="32">
        <v>1.5764359727193686E-2</v>
      </c>
      <c r="C22" s="32">
        <v>6.001979325648075E-8</v>
      </c>
      <c r="D22" s="33">
        <v>6.0019793256480748E-6</v>
      </c>
      <c r="E22" s="33">
        <v>240</v>
      </c>
      <c r="F22" s="33"/>
      <c r="Y22" s="6"/>
      <c r="Z22" s="7"/>
      <c r="AA22" s="7"/>
    </row>
    <row r="23" spans="1:27" x14ac:dyDescent="0.2">
      <c r="A23" s="31" t="s">
        <v>80</v>
      </c>
      <c r="B23" s="32">
        <v>1.5317780409266551E-2</v>
      </c>
      <c r="C23" s="32">
        <v>5.8319527670155011E-8</v>
      </c>
      <c r="D23" s="33">
        <v>5.8319527670155012E-6</v>
      </c>
      <c r="E23" s="33">
        <v>252</v>
      </c>
      <c r="F23" s="33"/>
      <c r="Y23" s="6"/>
      <c r="Z23" s="7"/>
      <c r="AA23" s="7"/>
    </row>
    <row r="24" spans="1:27" x14ac:dyDescent="0.2">
      <c r="A24" s="6"/>
      <c r="B24" s="7"/>
      <c r="C24" s="7"/>
      <c r="Y24" s="6"/>
      <c r="Z24" s="7"/>
      <c r="AA24" s="7"/>
    </row>
    <row r="25" spans="1:27" x14ac:dyDescent="0.2">
      <c r="A25" s="6"/>
      <c r="B25" s="7"/>
      <c r="C25" s="7"/>
      <c r="Y25" s="6"/>
      <c r="Z25" s="7"/>
      <c r="AA25" s="7"/>
    </row>
    <row r="26" spans="1:27" x14ac:dyDescent="0.2">
      <c r="A26" s="6"/>
      <c r="B26" s="7"/>
      <c r="C26" s="7"/>
      <c r="Y26" s="6"/>
      <c r="Z26" s="7"/>
      <c r="AA26" s="7"/>
    </row>
    <row r="27" spans="1:27" x14ac:dyDescent="0.2">
      <c r="A27" s="6"/>
      <c r="B27" s="7"/>
      <c r="C27" s="7"/>
      <c r="Y27" s="6"/>
      <c r="Z27" s="7"/>
      <c r="AA27" s="7"/>
    </row>
    <row r="28" spans="1:27" x14ac:dyDescent="0.2">
      <c r="A28" s="6"/>
      <c r="B28" s="7"/>
      <c r="C28" s="7"/>
      <c r="Y28" s="6"/>
      <c r="Z28" s="7"/>
      <c r="AA28" s="7"/>
    </row>
    <row r="29" spans="1:27" x14ac:dyDescent="0.2">
      <c r="A29" s="6"/>
      <c r="B29" s="7"/>
      <c r="C29" s="7"/>
    </row>
    <row r="30" spans="1:27" x14ac:dyDescent="0.2">
      <c r="A30" s="6"/>
      <c r="B30" s="7"/>
      <c r="C30" s="7"/>
    </row>
    <row r="31" spans="1:27" x14ac:dyDescent="0.2">
      <c r="A31" s="6"/>
      <c r="B31" s="7"/>
      <c r="C31" s="7"/>
    </row>
    <row r="32" spans="1:27" x14ac:dyDescent="0.2">
      <c r="A32" s="6"/>
      <c r="B32" s="7"/>
      <c r="C32" s="7"/>
    </row>
    <row r="33" spans="1:25" x14ac:dyDescent="0.2">
      <c r="A33" s="6"/>
      <c r="B33" s="7"/>
      <c r="C33" s="7"/>
    </row>
    <row r="34" spans="1:25" x14ac:dyDescent="0.2">
      <c r="A34" s="6"/>
      <c r="B34" s="7"/>
      <c r="C34" s="7"/>
    </row>
    <row r="35" spans="1:25" x14ac:dyDescent="0.2">
      <c r="A35" s="34"/>
      <c r="B35" s="34"/>
      <c r="C35" s="34"/>
    </row>
    <row r="36" spans="1:25" x14ac:dyDescent="0.2">
      <c r="A36" s="34"/>
      <c r="B36" s="34"/>
      <c r="C36" s="7"/>
    </row>
    <row r="37" spans="1:25" x14ac:dyDescent="0.2">
      <c r="A37" s="34"/>
      <c r="B37" s="34"/>
      <c r="C37" s="7"/>
    </row>
    <row r="38" spans="1:25" x14ac:dyDescent="0.2">
      <c r="A38" s="34"/>
      <c r="B38" s="34"/>
      <c r="C38" s="7"/>
    </row>
    <row r="43" spans="1:25" x14ac:dyDescent="0.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4"/>
      <c r="Y44" s="12"/>
    </row>
    <row r="45" spans="1:25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x14ac:dyDescent="0.2">
      <c r="A48" s="12"/>
      <c r="B48" s="12"/>
      <c r="C48" s="12"/>
      <c r="D48" s="12"/>
      <c r="E48" s="12"/>
      <c r="F48" s="16"/>
      <c r="G48" s="16"/>
      <c r="H48" s="12"/>
      <c r="I48" s="12"/>
      <c r="J48" s="16"/>
      <c r="K48" s="12"/>
      <c r="L48" s="12"/>
      <c r="M48" s="16"/>
      <c r="N48" s="12"/>
      <c r="O48" s="12"/>
      <c r="P48" s="12"/>
      <c r="Q48" s="12"/>
      <c r="R48" s="16"/>
      <c r="S48" s="12"/>
      <c r="T48" s="12"/>
      <c r="U48" s="12"/>
      <c r="V48" s="12"/>
      <c r="W48" s="12"/>
      <c r="X48" s="12"/>
      <c r="Y48" s="12"/>
    </row>
    <row r="49" spans="1:2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ions</vt:lpstr>
      <vt:lpstr>Cin</vt:lpstr>
      <vt:lpstr>effluent</vt:lpstr>
      <vt:lpstr>PFAS_BrTh</vt:lpstr>
      <vt:lpstr>liquid_phase_film_transfer_dif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Faran</dc:creator>
  <cp:keywords/>
  <dc:description/>
  <cp:lastModifiedBy>Mohammed Faran</cp:lastModifiedBy>
  <cp:revision/>
  <dcterms:created xsi:type="dcterms:W3CDTF">2026-01-20T15:26:12Z</dcterms:created>
  <dcterms:modified xsi:type="dcterms:W3CDTF">2026-03-10T13:11:51Z</dcterms:modified>
  <cp:category/>
  <cp:contentStatus/>
</cp:coreProperties>
</file>