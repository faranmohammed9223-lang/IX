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medfaran/Desktop/Research Data/Experimental_Data/"/>
    </mc:Choice>
  </mc:AlternateContent>
  <xr:revisionPtr revIDLastSave="0" documentId="13_ncr:1_{3506BC87-5AF8-A346-A82A-562195905C6E}" xr6:coauthVersionLast="47" xr6:coauthVersionMax="47" xr10:uidLastSave="{00000000-0000-0000-0000-000000000000}"/>
  <bookViews>
    <workbookView xWindow="0" yWindow="0" windowWidth="28800" windowHeight="18000" firstSheet="1" activeTab="1" xr2:uid="{41AAEAE0-1EFE-A54C-B23C-A205F89A8CDE}"/>
  </bookViews>
  <sheets>
    <sheet name="params" sheetId="1" r:id="rId1"/>
    <sheet name="ions" sheetId="2" r:id="rId2"/>
    <sheet name="Cin" sheetId="3" r:id="rId3"/>
    <sheet name="effluent" sheetId="6" r:id="rId4"/>
    <sheet name="PFAS_BrTh" sheetId="4" r:id="rId5"/>
    <sheet name="liquid_phase_film_transfer_dif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A3" i="3"/>
  <c r="C2" i="5"/>
  <c r="B2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5" i="5"/>
  <c r="D3" i="5"/>
  <c r="D2" i="5"/>
  <c r="C3" i="5" l="1"/>
  <c r="D4" i="5"/>
  <c r="C4" i="5" s="1"/>
  <c r="B4" i="5" s="1"/>
  <c r="C5" i="5"/>
  <c r="B5" i="5" s="1"/>
</calcChain>
</file>

<file path=xl/sharedStrings.xml><?xml version="1.0" encoding="utf-8"?>
<sst xmlns="http://schemas.openxmlformats.org/spreadsheetml/2006/main" count="188" uniqueCount="78">
  <si>
    <t>BV-C/Co</t>
  </si>
  <si>
    <t>PFPeA</t>
  </si>
  <si>
    <t>PFHxA</t>
  </si>
  <si>
    <t>GenX</t>
  </si>
  <si>
    <t>PFBA</t>
  </si>
  <si>
    <t>PFMOAA</t>
  </si>
  <si>
    <t>PMPA</t>
  </si>
  <si>
    <t>name</t>
  </si>
  <si>
    <t>mw</t>
  </si>
  <si>
    <t>KxA</t>
  </si>
  <si>
    <t>valence</t>
  </si>
  <si>
    <t>conc_units</t>
  </si>
  <si>
    <t>kL</t>
  </si>
  <si>
    <t>kL_units</t>
  </si>
  <si>
    <t>Ds</t>
  </si>
  <si>
    <t>Dp</t>
  </si>
  <si>
    <t>Dp_units</t>
  </si>
  <si>
    <t>CHLORIDE</t>
  </si>
  <si>
    <t>meq</t>
  </si>
  <si>
    <t>cm/s</t>
  </si>
  <si>
    <t>cm^2/s</t>
  </si>
  <si>
    <t>SULFATE</t>
  </si>
  <si>
    <t>BICARBONATE</t>
  </si>
  <si>
    <t>NITRATE</t>
  </si>
  <si>
    <t>PFOA</t>
  </si>
  <si>
    <t>PFBS</t>
  </si>
  <si>
    <t>PFHxS</t>
  </si>
  <si>
    <t>PFNA</t>
  </si>
  <si>
    <t>PFOS</t>
  </si>
  <si>
    <t>time</t>
  </si>
  <si>
    <t>PFHpA</t>
  </si>
  <si>
    <t>6:2FTS</t>
  </si>
  <si>
    <t>units</t>
  </si>
  <si>
    <t>Q</t>
  </si>
  <si>
    <t>meq/L</t>
  </si>
  <si>
    <t>EBED</t>
  </si>
  <si>
    <t>EPOR</t>
  </si>
  <si>
    <t>L</t>
  </si>
  <si>
    <t>cm</t>
  </si>
  <si>
    <t>v</t>
  </si>
  <si>
    <t>rb</t>
  </si>
  <si>
    <t>PFDA</t>
  </si>
  <si>
    <t>cm2/s</t>
  </si>
  <si>
    <t>nr</t>
  </si>
  <si>
    <t>nz</t>
  </si>
  <si>
    <t>4:2FTS</t>
  </si>
  <si>
    <t>8:2FTS</t>
  </si>
  <si>
    <t>NFB1</t>
  </si>
  <si>
    <t>NFB2</t>
  </si>
  <si>
    <t>Type</t>
  </si>
  <si>
    <t>constants</t>
  </si>
  <si>
    <t>dp</t>
  </si>
  <si>
    <t>Re</t>
  </si>
  <si>
    <t>Sc</t>
  </si>
  <si>
    <t>u</t>
  </si>
  <si>
    <t>vf</t>
  </si>
  <si>
    <t>porosity €</t>
  </si>
  <si>
    <t>Vb</t>
  </si>
  <si>
    <t>temp</t>
  </si>
  <si>
    <t>unit</t>
  </si>
  <si>
    <t>cP</t>
  </si>
  <si>
    <t>C deg</t>
  </si>
  <si>
    <t xml:space="preserve">non </t>
  </si>
  <si>
    <t>DL (cm^2/s)</t>
  </si>
  <si>
    <t>DL (m2/L)</t>
  </si>
  <si>
    <t>m</t>
  </si>
  <si>
    <t>m/s</t>
  </si>
  <si>
    <t>kL (m/s)</t>
  </si>
  <si>
    <t>mg</t>
  </si>
  <si>
    <t>unitless</t>
  </si>
  <si>
    <t>n =</t>
  </si>
  <si>
    <t xml:space="preserve">shape factor = </t>
  </si>
  <si>
    <t>bed porosity</t>
  </si>
  <si>
    <t>density</t>
  </si>
  <si>
    <t>apparent density</t>
  </si>
  <si>
    <t>value</t>
  </si>
  <si>
    <t xml:space="preserve">Ds_units 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</si>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</sst>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0"/>
    <numFmt numFmtId="165" formatCode="0.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9"/>
      <name val="Roboto"/>
    </font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2"/>
      <name val="Aptos Narrow"/>
      <family val="2"/>
      <scheme val="minor"/>
    </font>
    <font>
      <sz val="10"/>
      <color rgb="FF000000"/>
      <name val="Calibri"/>
      <family val="2"/>
    </font>
    <font>
      <sz val="12"/>
      <color rgb="FF000000"/>
      <name val="Aptos Narrow"/>
      <family val="2"/>
      <scheme val="minor"/>
    </font>
    <font>
      <sz val="11"/>
      <name val="Calibri"/>
      <family val="2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0" fillId="0" borderId="1" xfId="0" applyBorder="1"/>
    <xf numFmtId="0" fontId="6" fillId="0" borderId="0" xfId="0" applyFont="1"/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/>
    <xf numFmtId="0" fontId="7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2" fontId="3" fillId="0" borderId="0" xfId="0" applyNumberFormat="1" applyFont="1"/>
    <xf numFmtId="0" fontId="0" fillId="0" borderId="1" xfId="0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top"/>
    </xf>
    <xf numFmtId="0" fontId="10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11" fontId="8" fillId="0" borderId="0" xfId="0" applyNumberFormat="1" applyFont="1" applyAlignment="1">
      <alignment horizontal="center"/>
    </xf>
    <xf numFmtId="11" fontId="0" fillId="0" borderId="1" xfId="0" applyNumberFormat="1" applyBorder="1"/>
    <xf numFmtId="0" fontId="2" fillId="0" borderId="1" xfId="0" applyFont="1" applyBorder="1"/>
    <xf numFmtId="0" fontId="11" fillId="0" borderId="1" xfId="0" applyFont="1" applyBorder="1" applyAlignment="1">
      <alignment horizontal="center" vertical="center"/>
    </xf>
    <xf numFmtId="11" fontId="11" fillId="0" borderId="1" xfId="0" applyNumberFormat="1" applyFont="1" applyBorder="1" applyAlignment="1">
      <alignment horizontal="center" vertical="center"/>
    </xf>
    <xf numFmtId="11" fontId="0" fillId="0" borderId="0" xfId="0" applyNumberFormat="1"/>
    <xf numFmtId="11" fontId="3" fillId="0" borderId="0" xfId="0" applyNumberFormat="1" applyFont="1"/>
    <xf numFmtId="0" fontId="12" fillId="0" borderId="1" xfId="0" applyFont="1" applyBorder="1" applyAlignment="1">
      <alignment horizontal="center"/>
    </xf>
    <xf numFmtId="2" fontId="0" fillId="0" borderId="0" xfId="0" applyNumberFormat="1"/>
    <xf numFmtId="165" fontId="3" fillId="0" borderId="0" xfId="0" applyNumberFormat="1" applyFont="1"/>
    <xf numFmtId="0" fontId="5" fillId="0" borderId="0" xfId="0" applyFont="1"/>
    <xf numFmtId="165" fontId="5" fillId="0" borderId="0" xfId="0" applyNumberFormat="1" applyFont="1"/>
    <xf numFmtId="164" fontId="0" fillId="0" borderId="0" xfId="0" applyNumberFormat="1"/>
    <xf numFmtId="164" fontId="5" fillId="0" borderId="0" xfId="0" applyNumberFormat="1" applyFont="1"/>
    <xf numFmtId="0" fontId="5" fillId="0" borderId="1" xfId="0" applyFont="1" applyBorder="1"/>
    <xf numFmtId="2" fontId="3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 vertical="top"/>
    </xf>
    <xf numFmtId="0" fontId="13" fillId="0" borderId="1" xfId="0" applyFont="1" applyBorder="1" applyAlignment="1">
      <alignment horizontal="center"/>
    </xf>
    <xf numFmtId="0" fontId="14" fillId="0" borderId="0" xfId="0" applyFont="1" applyAlignment="1">
      <alignment horizontal="center" vertical="center" wrapText="1"/>
    </xf>
    <xf numFmtId="2" fontId="3" fillId="0" borderId="1" xfId="0" applyNumberFormat="1" applyFont="1" applyBorder="1"/>
    <xf numFmtId="2" fontId="5" fillId="0" borderId="1" xfId="0" applyNumberFormat="1" applyFont="1" applyBorder="1"/>
    <xf numFmtId="11" fontId="3" fillId="0" borderId="1" xfId="0" applyNumberFormat="1" applyFont="1" applyBorder="1"/>
    <xf numFmtId="11" fontId="11" fillId="0" borderId="1" xfId="0" applyNumberFormat="1" applyFont="1" applyBorder="1"/>
    <xf numFmtId="11" fontId="17" fillId="0" borderId="1" xfId="0" applyNumberFormat="1" applyFont="1" applyBorder="1"/>
    <xf numFmtId="0" fontId="0" fillId="0" borderId="0" xfId="0" applyAlignment="1">
      <alignment horizontal="center"/>
    </xf>
    <xf numFmtId="0" fontId="17" fillId="0" borderId="1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11" fontId="5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/>
    <xf numFmtId="2" fontId="3" fillId="0" borderId="1" xfId="1" applyNumberFormat="1" applyFont="1" applyBorder="1" applyAlignment="1">
      <alignment horizontal="center"/>
    </xf>
    <xf numFmtId="11" fontId="3" fillId="0" borderId="1" xfId="1" applyNumberFormat="1" applyFont="1" applyBorder="1" applyAlignment="1">
      <alignment horizontal="center"/>
    </xf>
    <xf numFmtId="11" fontId="4" fillId="0" borderId="1" xfId="1" applyNumberFormat="1" applyFont="1" applyBorder="1" applyAlignment="1">
      <alignment horizontal="center" vertical="top"/>
    </xf>
    <xf numFmtId="11" fontId="0" fillId="0" borderId="1" xfId="1" applyNumberFormat="1" applyFont="1" applyBorder="1" applyAlignment="1">
      <alignment horizontal="center"/>
    </xf>
    <xf numFmtId="0" fontId="3" fillId="0" borderId="0" xfId="1" applyNumberFormat="1" applyFont="1" applyBorder="1"/>
    <xf numFmtId="164" fontId="15" fillId="0" borderId="0" xfId="0" applyNumberFormat="1" applyFont="1"/>
    <xf numFmtId="11" fontId="17" fillId="0" borderId="0" xfId="0" applyNumberFormat="1" applyFont="1"/>
    <xf numFmtId="0" fontId="1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7" fillId="0" borderId="0" xfId="0" applyFont="1"/>
    <xf numFmtId="0" fontId="12" fillId="3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804881</xdr:colOff>
      <xdr:row>0</xdr:row>
      <xdr:rowOff>0</xdr:rowOff>
    </xdr:from>
    <xdr:to>
      <xdr:col>19</xdr:col>
      <xdr:colOff>423333</xdr:colOff>
      <xdr:row>22</xdr:row>
      <xdr:rowOff>96128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CDFC45-71C3-8210-EFB5-1437EAEB4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8881" y="0"/>
          <a:ext cx="5426586" cy="4580485"/>
        </a:xfrm>
        <a:prstGeom prst="rect">
          <a:avLst/>
        </a:prstGeom>
      </xdr:spPr>
    </xdr:pic>
    <xdr:clientData/>
  </xdr:twoCellAnchor>
  <xdr:twoCellAnchor editAs="oneCell">
    <xdr:from>
      <xdr:col>12</xdr:col>
      <xdr:colOff>591214</xdr:colOff>
      <xdr:row>22</xdr:row>
      <xdr:rowOff>53879</xdr:rowOff>
    </xdr:from>
    <xdr:to>
      <xdr:col>19</xdr:col>
      <xdr:colOff>728134</xdr:colOff>
      <xdr:row>25</xdr:row>
      <xdr:rowOff>125711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EC727F0-8F76-2D5D-60E0-ED3923695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05214" y="4727479"/>
          <a:ext cx="5945054" cy="681431"/>
        </a:xfrm>
        <a:prstGeom prst="rect">
          <a:avLst/>
        </a:prstGeom>
      </xdr:spPr>
    </xdr:pic>
    <xdr:clientData/>
  </xdr:twoCellAnchor>
  <xdr:twoCellAnchor editAs="oneCell">
    <xdr:from>
      <xdr:col>12</xdr:col>
      <xdr:colOff>812800</xdr:colOff>
      <xdr:row>25</xdr:row>
      <xdr:rowOff>186266</xdr:rowOff>
    </xdr:from>
    <xdr:to>
      <xdr:col>19</xdr:col>
      <xdr:colOff>575732</xdr:colOff>
      <xdr:row>52</xdr:row>
      <xdr:rowOff>4177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06C31E5-0F7A-FF71-F3DE-483CCA2E1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6800" y="5469466"/>
          <a:ext cx="5571066" cy="53043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B9577-7AEF-2948-8111-64FF5E2C5C5D}">
  <dimension ref="A1:J19"/>
  <sheetViews>
    <sheetView zoomScale="252" workbookViewId="0">
      <selection activeCell="B9" sqref="B9"/>
    </sheetView>
  </sheetViews>
  <sheetFormatPr baseColWidth="10" defaultRowHeight="16" x14ac:dyDescent="0.2"/>
  <cols>
    <col min="1" max="1" width="11.5" bestFit="1" customWidth="1"/>
    <col min="2" max="2" width="8.33203125" bestFit="1" customWidth="1"/>
    <col min="3" max="3" width="10.83203125" bestFit="1" customWidth="1"/>
    <col min="4" max="4" width="40" bestFit="1" customWidth="1"/>
  </cols>
  <sheetData>
    <row r="1" spans="1:10" x14ac:dyDescent="0.2">
      <c r="A1" s="10" t="s">
        <v>7</v>
      </c>
      <c r="B1" s="10" t="s">
        <v>75</v>
      </c>
      <c r="C1" s="10" t="s">
        <v>32</v>
      </c>
      <c r="D1" s="1"/>
      <c r="E1" s="1"/>
      <c r="F1" s="1"/>
      <c r="G1" s="1"/>
      <c r="H1" s="1"/>
      <c r="I1" s="1"/>
      <c r="J1" s="1"/>
    </row>
    <row r="2" spans="1:10" x14ac:dyDescent="0.2">
      <c r="A2" s="10" t="s">
        <v>33</v>
      </c>
      <c r="B2" s="35">
        <v>730</v>
      </c>
      <c r="C2" s="10" t="s">
        <v>34</v>
      </c>
      <c r="D2" s="1"/>
      <c r="E2" s="1"/>
    </row>
    <row r="3" spans="1:10" x14ac:dyDescent="0.2">
      <c r="A3" s="10" t="s">
        <v>35</v>
      </c>
      <c r="B3" s="35">
        <v>0.38100000000000001</v>
      </c>
      <c r="C3" s="10" t="e">
        <v>#N/A</v>
      </c>
      <c r="D3" s="1"/>
      <c r="E3" s="1"/>
    </row>
    <row r="4" spans="1:10" x14ac:dyDescent="0.2">
      <c r="A4" s="10" t="s">
        <v>36</v>
      </c>
      <c r="B4" s="35">
        <v>0.2</v>
      </c>
      <c r="C4" s="10" t="e">
        <v>#N/A</v>
      </c>
      <c r="D4" s="1"/>
      <c r="E4" s="1"/>
    </row>
    <row r="5" spans="1:10" x14ac:dyDescent="0.2">
      <c r="A5" s="10" t="s">
        <v>37</v>
      </c>
      <c r="B5" s="35">
        <v>1.5</v>
      </c>
      <c r="C5" s="10" t="s">
        <v>38</v>
      </c>
      <c r="D5" s="1"/>
      <c r="E5" s="1"/>
    </row>
    <row r="6" spans="1:10" x14ac:dyDescent="0.2">
      <c r="A6" s="10" t="s">
        <v>39</v>
      </c>
      <c r="B6" s="35">
        <v>1.212920864</v>
      </c>
      <c r="C6" s="10" t="s">
        <v>19</v>
      </c>
      <c r="D6" s="1"/>
      <c r="E6" s="1"/>
    </row>
    <row r="7" spans="1:10" x14ac:dyDescent="0.2">
      <c r="A7" s="10" t="s">
        <v>40</v>
      </c>
      <c r="B7" s="35">
        <v>7.0000000000000001E-3</v>
      </c>
      <c r="C7" s="10" t="s">
        <v>38</v>
      </c>
      <c r="D7" s="1"/>
      <c r="E7" s="1"/>
    </row>
    <row r="8" spans="1:10" x14ac:dyDescent="0.2">
      <c r="A8" s="10" t="s">
        <v>12</v>
      </c>
      <c r="B8" s="47">
        <v>1.7100000000000001E-2</v>
      </c>
      <c r="C8" s="10" t="s">
        <v>19</v>
      </c>
      <c r="D8" s="1"/>
      <c r="E8" s="1"/>
    </row>
    <row r="9" spans="1:10" ht="17" x14ac:dyDescent="0.25">
      <c r="A9" s="10" t="s">
        <v>14</v>
      </c>
      <c r="B9" s="43">
        <v>3.369443E-9</v>
      </c>
      <c r="C9" s="10" t="s">
        <v>42</v>
      </c>
      <c r="D9" s="1"/>
      <c r="E9" s="1"/>
    </row>
    <row r="10" spans="1:10" x14ac:dyDescent="0.2">
      <c r="A10" s="10" t="s">
        <v>15</v>
      </c>
      <c r="B10" s="35">
        <v>0</v>
      </c>
      <c r="C10" s="10" t="s">
        <v>42</v>
      </c>
      <c r="D10" s="1"/>
      <c r="E10" s="1"/>
    </row>
    <row r="11" spans="1:10" x14ac:dyDescent="0.2">
      <c r="A11" s="10" t="s">
        <v>43</v>
      </c>
      <c r="B11" s="35">
        <v>7</v>
      </c>
      <c r="C11" s="10" t="e">
        <v>#N/A</v>
      </c>
      <c r="D11" s="1"/>
      <c r="E11" s="1"/>
    </row>
    <row r="12" spans="1:10" x14ac:dyDescent="0.2">
      <c r="A12" s="10" t="s">
        <v>44</v>
      </c>
      <c r="B12" s="35">
        <v>13</v>
      </c>
      <c r="C12" s="10" t="e">
        <v>#N/A</v>
      </c>
      <c r="D12" s="1"/>
      <c r="E12" s="1"/>
    </row>
    <row r="13" spans="1:10" x14ac:dyDescent="0.2">
      <c r="A13" s="10" t="s">
        <v>29</v>
      </c>
      <c r="B13" s="10">
        <v>309171.03580000001</v>
      </c>
      <c r="C13" s="10" t="s">
        <v>77</v>
      </c>
      <c r="E13" s="1"/>
    </row>
    <row r="14" spans="1:10" x14ac:dyDescent="0.2">
      <c r="E14" s="1"/>
      <c r="F14" s="1"/>
      <c r="G14" s="1"/>
      <c r="H14" s="1"/>
      <c r="I14" s="1"/>
    </row>
    <row r="15" spans="1:10" x14ac:dyDescent="0.2">
      <c r="D15" s="1"/>
      <c r="E15" s="1"/>
      <c r="F15" s="1"/>
      <c r="G15" s="1"/>
      <c r="H15" s="1"/>
      <c r="I15" s="1"/>
    </row>
    <row r="16" spans="1:10" x14ac:dyDescent="0.2">
      <c r="D16" s="1"/>
      <c r="E16" s="1"/>
      <c r="F16" s="1"/>
      <c r="G16" s="1"/>
      <c r="H16" s="1"/>
      <c r="I16" s="1"/>
    </row>
    <row r="17" spans="4:9" x14ac:dyDescent="0.2">
      <c r="D17" s="1"/>
      <c r="E17" s="1"/>
      <c r="F17" s="1"/>
      <c r="G17" s="1"/>
      <c r="H17" s="1"/>
      <c r="I17" s="1"/>
    </row>
    <row r="18" spans="4:9" x14ac:dyDescent="0.2">
      <c r="D18" s="1"/>
      <c r="E18" s="1"/>
      <c r="F18" s="1"/>
      <c r="G18" s="1"/>
      <c r="H18" s="1"/>
      <c r="I18" s="1"/>
    </row>
    <row r="19" spans="4:9" x14ac:dyDescent="0.2">
      <c r="D19" s="1"/>
      <c r="E19" s="1"/>
      <c r="F19" s="1"/>
      <c r="G19" s="1"/>
      <c r="H19" s="1"/>
      <c r="I1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45E3C-2437-3A41-A129-5DBBB66F01C4}">
  <dimension ref="A1:T39"/>
  <sheetViews>
    <sheetView tabSelected="1" zoomScaleNormal="82" workbookViewId="0">
      <selection activeCell="D19" sqref="D19"/>
    </sheetView>
  </sheetViews>
  <sheetFormatPr baseColWidth="10" defaultRowHeight="16" x14ac:dyDescent="0.2"/>
  <cols>
    <col min="1" max="1" width="13" bestFit="1" customWidth="1"/>
    <col min="2" max="2" width="20.1640625" customWidth="1"/>
    <col min="3" max="3" width="15.1640625" bestFit="1" customWidth="1"/>
    <col min="4" max="4" width="20" bestFit="1" customWidth="1"/>
    <col min="6" max="6" width="12.1640625" bestFit="1" customWidth="1"/>
    <col min="7" max="7" width="9.33203125" bestFit="1" customWidth="1"/>
    <col min="9" max="9" width="8.6640625" bestFit="1" customWidth="1"/>
    <col min="14" max="14" width="21" bestFit="1" customWidth="1"/>
    <col min="15" max="15" width="6.5" bestFit="1" customWidth="1"/>
    <col min="16" max="16" width="8.5" bestFit="1" customWidth="1"/>
    <col min="18" max="18" width="10.6640625" bestFit="1" customWidth="1"/>
  </cols>
  <sheetData>
    <row r="1" spans="1:20" x14ac:dyDescent="0.2">
      <c r="A1" s="2" t="s">
        <v>7</v>
      </c>
      <c r="B1" s="2" t="s">
        <v>8</v>
      </c>
      <c r="C1" s="2" t="s">
        <v>9</v>
      </c>
      <c r="D1" s="2" t="s">
        <v>10</v>
      </c>
      <c r="E1" s="2" t="s">
        <v>12</v>
      </c>
      <c r="F1" s="2" t="s">
        <v>13</v>
      </c>
      <c r="G1" s="2" t="s">
        <v>14</v>
      </c>
      <c r="H1" s="2" t="s">
        <v>76</v>
      </c>
      <c r="I1" s="2" t="s">
        <v>15</v>
      </c>
      <c r="J1" s="2" t="s">
        <v>16</v>
      </c>
      <c r="K1" s="2" t="s">
        <v>11</v>
      </c>
    </row>
    <row r="2" spans="1:20" x14ac:dyDescent="0.2">
      <c r="A2" s="15" t="s">
        <v>17</v>
      </c>
      <c r="B2" s="15">
        <v>35.450000000000003</v>
      </c>
      <c r="C2" s="15">
        <v>1</v>
      </c>
      <c r="D2" s="15">
        <v>1</v>
      </c>
      <c r="E2" s="24">
        <v>7.1033855308415106E-2</v>
      </c>
      <c r="F2" s="15" t="s">
        <v>19</v>
      </c>
      <c r="G2" s="46">
        <v>1</v>
      </c>
      <c r="H2" s="15" t="s">
        <v>20</v>
      </c>
      <c r="I2" s="15">
        <v>0</v>
      </c>
      <c r="J2" s="15" t="s">
        <v>20</v>
      </c>
      <c r="K2" s="15" t="s">
        <v>18</v>
      </c>
      <c r="N2" s="11"/>
      <c r="O2" s="11"/>
      <c r="P2" s="11"/>
      <c r="Q2" s="11"/>
      <c r="R2" s="11"/>
      <c r="S2" s="11"/>
      <c r="T2" s="11"/>
    </row>
    <row r="3" spans="1:20" x14ac:dyDescent="0.2">
      <c r="A3" s="15" t="s">
        <v>21</v>
      </c>
      <c r="B3" s="15">
        <v>96.06</v>
      </c>
      <c r="C3" s="15">
        <v>2.7E-2</v>
      </c>
      <c r="D3" s="15">
        <v>2</v>
      </c>
      <c r="E3" s="24">
        <v>7.916175021784172E-2</v>
      </c>
      <c r="F3" s="15" t="s">
        <v>19</v>
      </c>
      <c r="G3" s="46">
        <v>0</v>
      </c>
      <c r="H3" s="15" t="s">
        <v>20</v>
      </c>
      <c r="I3" s="15">
        <v>0</v>
      </c>
      <c r="J3" s="15" t="s">
        <v>20</v>
      </c>
      <c r="K3" s="15" t="s">
        <v>18</v>
      </c>
      <c r="N3" s="1"/>
      <c r="O3" s="1"/>
      <c r="P3" s="1"/>
      <c r="Q3" s="1"/>
      <c r="R3" s="1"/>
      <c r="S3" s="1"/>
      <c r="T3" s="1"/>
    </row>
    <row r="4" spans="1:20" x14ac:dyDescent="0.2">
      <c r="A4" s="15" t="s">
        <v>22</v>
      </c>
      <c r="B4" s="15">
        <v>61.02</v>
      </c>
      <c r="C4" s="15">
        <v>0.32</v>
      </c>
      <c r="D4" s="15">
        <v>1</v>
      </c>
      <c r="E4" s="24">
        <v>5.0454639132858581E-2</v>
      </c>
      <c r="F4" s="15" t="s">
        <v>19</v>
      </c>
      <c r="G4" s="46">
        <v>0</v>
      </c>
      <c r="H4" s="15" t="s">
        <v>20</v>
      </c>
      <c r="I4" s="15">
        <v>0</v>
      </c>
      <c r="J4" s="15" t="s">
        <v>20</v>
      </c>
      <c r="K4" s="15" t="s">
        <v>18</v>
      </c>
      <c r="N4" s="1"/>
      <c r="O4" s="1"/>
      <c r="P4" s="1"/>
      <c r="Q4" s="1"/>
      <c r="R4" s="1"/>
      <c r="S4" s="1"/>
      <c r="T4" s="1"/>
    </row>
    <row r="5" spans="1:20" x14ac:dyDescent="0.2">
      <c r="A5" s="15" t="s">
        <v>23</v>
      </c>
      <c r="B5" s="15">
        <v>62.01</v>
      </c>
      <c r="C5" s="15">
        <v>13</v>
      </c>
      <c r="D5" s="15">
        <v>1</v>
      </c>
      <c r="E5" s="24">
        <v>5.1652033094747189E-2</v>
      </c>
      <c r="F5" s="15" t="s">
        <v>19</v>
      </c>
      <c r="G5" s="46">
        <v>0</v>
      </c>
      <c r="H5" s="15" t="s">
        <v>20</v>
      </c>
      <c r="I5" s="15">
        <v>0</v>
      </c>
      <c r="J5" s="15" t="s">
        <v>20</v>
      </c>
      <c r="K5" s="15" t="s">
        <v>18</v>
      </c>
      <c r="N5" s="1"/>
      <c r="O5" s="1"/>
      <c r="P5" s="1"/>
      <c r="Q5" s="1"/>
      <c r="R5" s="1"/>
      <c r="S5" s="1"/>
      <c r="T5" s="1"/>
    </row>
    <row r="6" spans="1:20" ht="17" x14ac:dyDescent="0.25">
      <c r="A6" s="56" t="s">
        <v>1</v>
      </c>
      <c r="B6" s="15">
        <v>264.04700000000003</v>
      </c>
      <c r="C6" s="45">
        <v>232</v>
      </c>
      <c r="D6" s="15">
        <v>1</v>
      </c>
      <c r="E6" s="24">
        <v>2.0394609191157882E-2</v>
      </c>
      <c r="F6" s="15" t="s">
        <v>19</v>
      </c>
      <c r="G6" s="55">
        <v>3.0410000000000001E-9</v>
      </c>
      <c r="H6" s="15" t="s">
        <v>20</v>
      </c>
      <c r="I6" s="15">
        <v>0</v>
      </c>
      <c r="J6" s="15" t="s">
        <v>20</v>
      </c>
      <c r="K6" s="15" t="s">
        <v>68</v>
      </c>
      <c r="N6" s="1"/>
      <c r="O6" s="1"/>
      <c r="P6" s="1"/>
      <c r="Q6" s="1"/>
      <c r="R6" s="1"/>
      <c r="S6" s="1"/>
      <c r="T6" s="1"/>
    </row>
    <row r="7" spans="1:20" ht="17" x14ac:dyDescent="0.25">
      <c r="A7" s="56" t="s">
        <v>2</v>
      </c>
      <c r="B7" s="15">
        <v>313.04700000000003</v>
      </c>
      <c r="C7" s="45">
        <v>421</v>
      </c>
      <c r="D7" s="15">
        <v>1</v>
      </c>
      <c r="E7" s="24">
        <v>1.8554049475036211E-2</v>
      </c>
      <c r="F7" s="15" t="s">
        <v>19</v>
      </c>
      <c r="G7" s="55">
        <v>9.446E-8</v>
      </c>
      <c r="H7" s="15" t="s">
        <v>20</v>
      </c>
      <c r="I7" s="15">
        <v>0</v>
      </c>
      <c r="J7" s="15" t="s">
        <v>20</v>
      </c>
      <c r="K7" s="15" t="s">
        <v>68</v>
      </c>
      <c r="N7" s="1"/>
      <c r="O7" s="1"/>
      <c r="P7" s="1"/>
      <c r="Q7" s="1"/>
      <c r="R7" s="1"/>
      <c r="S7" s="1"/>
      <c r="T7" s="1"/>
    </row>
    <row r="8" spans="1:20" ht="17" x14ac:dyDescent="0.25">
      <c r="A8" s="59" t="s">
        <v>3</v>
      </c>
      <c r="B8" s="37">
        <v>330.05</v>
      </c>
      <c r="C8" s="45">
        <v>406</v>
      </c>
      <c r="D8" s="15">
        <v>1</v>
      </c>
      <c r="E8" s="24">
        <v>1.8168819206465719E-2</v>
      </c>
      <c r="F8" s="15" t="s">
        <v>19</v>
      </c>
      <c r="G8" s="55">
        <v>1.5930000000000002E-5</v>
      </c>
      <c r="H8" s="15" t="s">
        <v>20</v>
      </c>
      <c r="I8" s="15">
        <v>0</v>
      </c>
      <c r="J8" s="15" t="s">
        <v>20</v>
      </c>
      <c r="K8" s="15" t="s">
        <v>68</v>
      </c>
      <c r="N8" s="1"/>
      <c r="O8" s="1"/>
      <c r="P8" s="1"/>
      <c r="Q8" s="1"/>
      <c r="R8" s="1"/>
      <c r="S8" s="1"/>
      <c r="T8" s="1"/>
    </row>
    <row r="9" spans="1:20" ht="17" x14ac:dyDescent="0.25">
      <c r="A9" s="56" t="s">
        <v>4</v>
      </c>
      <c r="B9" s="15">
        <v>214.03899999999999</v>
      </c>
      <c r="C9" s="45">
        <v>67</v>
      </c>
      <c r="D9" s="15">
        <v>1</v>
      </c>
      <c r="E9" s="24">
        <v>2.282832704392946E-2</v>
      </c>
      <c r="F9" s="15" t="s">
        <v>19</v>
      </c>
      <c r="G9" s="55">
        <v>5.3170000000000004E-10</v>
      </c>
      <c r="H9" s="15" t="s">
        <v>20</v>
      </c>
      <c r="I9" s="15">
        <v>0</v>
      </c>
      <c r="J9" s="15" t="s">
        <v>20</v>
      </c>
      <c r="K9" s="15" t="s">
        <v>68</v>
      </c>
      <c r="N9" s="1"/>
      <c r="O9" s="1"/>
      <c r="P9" s="1"/>
      <c r="Q9" s="1"/>
      <c r="R9" s="1"/>
      <c r="S9" s="1"/>
      <c r="T9" s="1"/>
    </row>
    <row r="10" spans="1:20" ht="17" x14ac:dyDescent="0.25">
      <c r="A10" s="56" t="s">
        <v>5</v>
      </c>
      <c r="B10" s="15">
        <v>180.03</v>
      </c>
      <c r="C10" s="58">
        <v>75.2</v>
      </c>
      <c r="D10" s="15">
        <v>1</v>
      </c>
      <c r="E10" s="24">
        <v>2.5510302190007245E-2</v>
      </c>
      <c r="F10" s="15" t="s">
        <v>19</v>
      </c>
      <c r="G10" s="55">
        <v>9.9999999999999995E-8</v>
      </c>
      <c r="H10" s="15" t="s">
        <v>20</v>
      </c>
      <c r="I10" s="15">
        <v>0</v>
      </c>
      <c r="J10" s="15" t="s">
        <v>20</v>
      </c>
      <c r="K10" s="15" t="s">
        <v>68</v>
      </c>
      <c r="N10" s="1"/>
      <c r="O10" s="1"/>
      <c r="P10" s="1"/>
      <c r="Q10" s="1"/>
      <c r="R10" s="1"/>
      <c r="S10" s="1"/>
      <c r="T10" s="1"/>
    </row>
    <row r="11" spans="1:20" ht="17" x14ac:dyDescent="0.25">
      <c r="A11" s="56" t="s">
        <v>6</v>
      </c>
      <c r="B11" s="27">
        <v>230.03800000000001</v>
      </c>
      <c r="C11" s="45">
        <v>138</v>
      </c>
      <c r="D11" s="15">
        <v>1</v>
      </c>
      <c r="E11" s="24">
        <v>2.2220612793299517E-2</v>
      </c>
      <c r="F11" s="15" t="s">
        <v>19</v>
      </c>
      <c r="G11" s="55">
        <v>9.9999999999999995E-8</v>
      </c>
      <c r="H11" s="15" t="s">
        <v>20</v>
      </c>
      <c r="I11" s="15">
        <v>0</v>
      </c>
      <c r="J11" s="15" t="s">
        <v>20</v>
      </c>
      <c r="K11" s="15" t="s">
        <v>68</v>
      </c>
      <c r="N11" s="1"/>
      <c r="O11" s="1"/>
      <c r="P11" s="1"/>
      <c r="Q11" s="1"/>
      <c r="R11" s="1"/>
      <c r="S11" s="1"/>
      <c r="T11" s="1"/>
    </row>
    <row r="12" spans="1:20" ht="17" x14ac:dyDescent="0.25">
      <c r="A12" s="56" t="s">
        <v>45</v>
      </c>
      <c r="B12" s="27">
        <v>327.14</v>
      </c>
      <c r="C12" s="58">
        <v>202</v>
      </c>
      <c r="D12" s="15">
        <v>1</v>
      </c>
      <c r="E12" s="47">
        <v>1.78E-2</v>
      </c>
      <c r="F12" s="15" t="s">
        <v>19</v>
      </c>
      <c r="G12" s="55">
        <v>9.3229999999999995E-8</v>
      </c>
      <c r="H12" s="15" t="s">
        <v>20</v>
      </c>
      <c r="I12" s="15">
        <v>0</v>
      </c>
      <c r="J12" s="15" t="s">
        <v>20</v>
      </c>
      <c r="K12" s="15" t="s">
        <v>68</v>
      </c>
      <c r="N12" s="1"/>
      <c r="O12" s="1"/>
      <c r="P12" s="1"/>
      <c r="Q12" s="1"/>
      <c r="R12" s="1"/>
      <c r="S12" s="1"/>
      <c r="T12" s="1"/>
    </row>
    <row r="13" spans="1:20" ht="17" x14ac:dyDescent="0.25">
      <c r="A13" s="57" t="s">
        <v>30</v>
      </c>
      <c r="B13" s="13">
        <v>364.06200000000001</v>
      </c>
      <c r="C13" s="58">
        <v>923</v>
      </c>
      <c r="D13" s="15">
        <v>1</v>
      </c>
      <c r="E13" s="47">
        <v>1.7100000000000001E-2</v>
      </c>
      <c r="F13" s="15" t="s">
        <v>19</v>
      </c>
      <c r="G13" s="55">
        <v>9.9999999999999995E-8</v>
      </c>
      <c r="H13" s="15" t="s">
        <v>20</v>
      </c>
      <c r="I13" s="15">
        <v>0</v>
      </c>
      <c r="J13" s="15" t="s">
        <v>20</v>
      </c>
      <c r="K13" s="15" t="s">
        <v>68</v>
      </c>
      <c r="N13" s="1"/>
      <c r="O13" s="1"/>
      <c r="P13" s="1"/>
      <c r="Q13" s="1"/>
      <c r="R13" s="1"/>
      <c r="S13" s="1"/>
      <c r="T13" s="1"/>
    </row>
    <row r="14" spans="1:20" ht="17" x14ac:dyDescent="0.25">
      <c r="A14" s="12" t="s">
        <v>31</v>
      </c>
      <c r="B14" s="13">
        <v>428.16</v>
      </c>
      <c r="C14" s="58">
        <v>883</v>
      </c>
      <c r="D14" s="15">
        <v>1</v>
      </c>
      <c r="E14" s="47">
        <v>1.54E-2</v>
      </c>
      <c r="F14" s="15" t="s">
        <v>19</v>
      </c>
      <c r="G14" s="55">
        <v>9.9999999999999995E-8</v>
      </c>
      <c r="H14" s="15" t="s">
        <v>20</v>
      </c>
      <c r="I14" s="15">
        <v>0</v>
      </c>
      <c r="J14" s="15" t="s">
        <v>20</v>
      </c>
      <c r="K14" s="15" t="s">
        <v>68</v>
      </c>
      <c r="N14" s="1"/>
      <c r="O14" s="1"/>
      <c r="P14" s="1"/>
      <c r="Q14" s="1"/>
      <c r="R14" s="1"/>
      <c r="S14" s="1"/>
      <c r="T14" s="1"/>
    </row>
    <row r="15" spans="1:20" x14ac:dyDescent="0.2">
      <c r="E15" s="25"/>
      <c r="N15" s="1"/>
      <c r="O15" s="1"/>
      <c r="P15" s="1"/>
      <c r="Q15" s="1"/>
      <c r="R15" s="1"/>
      <c r="S15" s="1"/>
      <c r="T15" s="1"/>
    </row>
    <row r="16" spans="1:20" x14ac:dyDescent="0.2">
      <c r="E16" s="25"/>
      <c r="N16" s="1"/>
      <c r="O16" s="1"/>
      <c r="P16" s="1"/>
      <c r="Q16" s="1"/>
      <c r="R16" s="1"/>
      <c r="S16" s="1"/>
      <c r="T16" s="1"/>
    </row>
    <row r="17" spans="2:20" x14ac:dyDescent="0.2">
      <c r="E17" s="25"/>
      <c r="N17" s="1"/>
      <c r="O17" s="1"/>
      <c r="P17" s="1"/>
      <c r="Q17" s="1"/>
      <c r="R17" s="1"/>
      <c r="S17" s="1"/>
      <c r="T17" s="1"/>
    </row>
    <row r="18" spans="2:20" x14ac:dyDescent="0.2">
      <c r="E18" s="25"/>
      <c r="N18" s="1"/>
      <c r="O18" s="1"/>
      <c r="P18" s="1"/>
      <c r="Q18" s="1"/>
      <c r="R18" s="1"/>
      <c r="S18" s="1"/>
      <c r="T18" s="1"/>
    </row>
    <row r="19" spans="2:20" x14ac:dyDescent="0.2">
      <c r="E19" s="25"/>
      <c r="I19" s="25"/>
      <c r="N19" s="1"/>
      <c r="O19" s="1"/>
      <c r="P19" s="1"/>
      <c r="Q19" s="1"/>
      <c r="R19" s="1"/>
      <c r="S19" s="1"/>
      <c r="T19" s="1"/>
    </row>
    <row r="20" spans="2:20" x14ac:dyDescent="0.2">
      <c r="E20" s="25"/>
      <c r="I20" s="25"/>
      <c r="N20" s="1"/>
      <c r="O20" s="1"/>
      <c r="P20" s="1"/>
      <c r="Q20" s="1"/>
      <c r="R20" s="1"/>
      <c r="S20" s="1"/>
      <c r="T20" s="1"/>
    </row>
    <row r="21" spans="2:20" x14ac:dyDescent="0.2">
      <c r="B21" s="6"/>
      <c r="C21" s="38"/>
      <c r="D21" s="7"/>
      <c r="E21" s="25"/>
      <c r="I21" s="25"/>
      <c r="N21" s="1"/>
      <c r="O21" s="1"/>
      <c r="P21" s="1"/>
      <c r="Q21" s="1"/>
      <c r="R21" s="1"/>
      <c r="S21" s="1"/>
      <c r="T21" s="1"/>
    </row>
    <row r="22" spans="2:20" x14ac:dyDescent="0.2">
      <c r="B22" s="8"/>
      <c r="C22" s="9"/>
      <c r="D22" s="9"/>
      <c r="E22" s="25"/>
      <c r="I22" s="25"/>
      <c r="N22" s="1"/>
      <c r="O22" s="1"/>
      <c r="P22" s="1"/>
      <c r="Q22" s="1"/>
      <c r="R22" s="1"/>
      <c r="S22" s="1"/>
      <c r="T22" s="1"/>
    </row>
    <row r="23" spans="2:20" x14ac:dyDescent="0.2">
      <c r="B23" s="8"/>
      <c r="C23" s="9"/>
      <c r="D23" s="9"/>
      <c r="E23" s="25"/>
      <c r="I23" s="25"/>
      <c r="N23" s="1"/>
      <c r="O23" s="1"/>
      <c r="P23" s="1"/>
      <c r="Q23" s="1"/>
      <c r="R23" s="1"/>
      <c r="S23" s="1"/>
      <c r="T23" s="1"/>
    </row>
    <row r="24" spans="2:20" x14ac:dyDescent="0.2">
      <c r="B24" s="8"/>
      <c r="C24" s="9"/>
      <c r="D24" s="9"/>
      <c r="E24" s="25"/>
      <c r="I24" s="25"/>
      <c r="N24" s="1"/>
      <c r="O24" s="1"/>
      <c r="P24" s="1"/>
      <c r="Q24" s="1"/>
      <c r="R24" s="1"/>
      <c r="S24" s="1"/>
      <c r="T24" s="1"/>
    </row>
    <row r="25" spans="2:20" x14ac:dyDescent="0.2">
      <c r="B25" s="8"/>
      <c r="C25" s="9"/>
      <c r="D25" s="9"/>
      <c r="E25" s="25"/>
      <c r="I25" s="25"/>
      <c r="N25" s="1"/>
      <c r="O25" s="1"/>
      <c r="P25" s="1"/>
      <c r="Q25" s="1"/>
      <c r="R25" s="1"/>
      <c r="S25" s="1"/>
      <c r="T25" s="1"/>
    </row>
    <row r="26" spans="2:20" x14ac:dyDescent="0.2">
      <c r="B26" s="8"/>
      <c r="C26" s="9"/>
      <c r="D26" s="9"/>
      <c r="E26" s="25"/>
      <c r="N26" s="1"/>
      <c r="O26" s="1"/>
      <c r="P26" s="1"/>
      <c r="Q26" s="1"/>
      <c r="R26" s="1"/>
      <c r="S26" s="1"/>
      <c r="T26" s="1"/>
    </row>
    <row r="27" spans="2:20" x14ac:dyDescent="0.2">
      <c r="B27" s="8"/>
      <c r="C27" s="9"/>
      <c r="D27" s="9"/>
      <c r="E27" s="25"/>
      <c r="N27" s="1"/>
      <c r="O27" s="1"/>
      <c r="P27" s="1"/>
      <c r="Q27" s="1"/>
      <c r="R27" s="1"/>
      <c r="S27" s="1"/>
      <c r="T27" s="1"/>
    </row>
    <row r="28" spans="2:20" x14ac:dyDescent="0.2">
      <c r="B28" s="8"/>
      <c r="C28" s="9"/>
      <c r="D28" s="9"/>
      <c r="E28" s="25"/>
      <c r="N28" s="1"/>
      <c r="O28" s="1"/>
      <c r="P28" s="1"/>
      <c r="Q28" s="1"/>
      <c r="R28" s="1"/>
      <c r="S28" s="1"/>
      <c r="T28" s="1"/>
    </row>
    <row r="29" spans="2:20" x14ac:dyDescent="0.2">
      <c r="B29" s="8"/>
      <c r="C29" s="9"/>
      <c r="D29" s="9"/>
      <c r="N29" s="1"/>
      <c r="O29" s="1"/>
      <c r="P29" s="1"/>
      <c r="Q29" s="1"/>
      <c r="R29" s="1"/>
      <c r="S29" s="1"/>
      <c r="T29" s="1"/>
    </row>
    <row r="30" spans="2:20" x14ac:dyDescent="0.2">
      <c r="B30" s="8"/>
      <c r="C30" s="9"/>
      <c r="D30" s="9"/>
      <c r="N30" s="1"/>
      <c r="O30" s="1"/>
      <c r="P30" s="1"/>
      <c r="Q30" s="1"/>
      <c r="R30" s="1"/>
      <c r="S30" s="1"/>
      <c r="T30" s="1"/>
    </row>
    <row r="31" spans="2:20" x14ac:dyDescent="0.2">
      <c r="B31" s="8"/>
      <c r="C31" s="9"/>
      <c r="D31" s="9"/>
      <c r="N31" s="1"/>
      <c r="O31" s="1"/>
      <c r="P31" s="1"/>
      <c r="Q31" s="1"/>
      <c r="R31" s="1"/>
      <c r="S31" s="1"/>
      <c r="T31" s="1"/>
    </row>
    <row r="32" spans="2:20" x14ac:dyDescent="0.2">
      <c r="B32" s="8"/>
      <c r="C32" s="9"/>
      <c r="D32" s="9"/>
      <c r="N32" s="1"/>
      <c r="O32" s="1"/>
      <c r="P32" s="1"/>
      <c r="Q32" s="1"/>
      <c r="R32" s="1"/>
      <c r="S32" s="1"/>
      <c r="T32" s="1"/>
    </row>
    <row r="33" spans="2:20" x14ac:dyDescent="0.2">
      <c r="B33" s="8"/>
      <c r="C33" s="9"/>
      <c r="D33" s="9"/>
      <c r="N33" s="1"/>
      <c r="O33" s="1"/>
      <c r="P33" s="1"/>
      <c r="Q33" s="1"/>
      <c r="R33" s="1"/>
      <c r="S33" s="1"/>
      <c r="T33" s="1"/>
    </row>
    <row r="34" spans="2:20" x14ac:dyDescent="0.2">
      <c r="B34" s="8"/>
      <c r="C34" s="9"/>
      <c r="D34" s="9"/>
      <c r="N34" s="1"/>
      <c r="O34" s="1"/>
      <c r="P34" s="1"/>
      <c r="Q34" s="1"/>
      <c r="R34" s="1"/>
      <c r="S34" s="1"/>
      <c r="T34" s="1"/>
    </row>
    <row r="35" spans="2:20" x14ac:dyDescent="0.2">
      <c r="B35" s="8"/>
      <c r="C35" s="9"/>
      <c r="D35" s="9"/>
      <c r="N35" s="1"/>
      <c r="O35" s="1"/>
      <c r="P35" s="1"/>
      <c r="Q35" s="1"/>
      <c r="R35" s="1"/>
      <c r="S35" s="1"/>
      <c r="T35" s="1"/>
    </row>
    <row r="36" spans="2:20" x14ac:dyDescent="0.2">
      <c r="B36" s="8"/>
      <c r="C36" s="9"/>
      <c r="D36" s="9"/>
      <c r="N36" s="1"/>
      <c r="O36" s="1"/>
      <c r="P36" s="1"/>
      <c r="Q36" s="1"/>
      <c r="R36" s="1"/>
      <c r="S36" s="1"/>
      <c r="T36" s="1"/>
    </row>
    <row r="37" spans="2:20" x14ac:dyDescent="0.2">
      <c r="B37" s="8"/>
      <c r="C37" s="9"/>
      <c r="D37" s="9"/>
      <c r="N37" s="1"/>
      <c r="O37" s="1"/>
      <c r="P37" s="1"/>
      <c r="Q37" s="1"/>
      <c r="R37" s="1"/>
      <c r="S37" s="1"/>
      <c r="T37" s="1"/>
    </row>
    <row r="38" spans="2:20" x14ac:dyDescent="0.2">
      <c r="B38" s="8"/>
      <c r="C38" s="9"/>
      <c r="D38" s="9"/>
      <c r="N38" s="1"/>
      <c r="O38" s="1"/>
      <c r="P38" s="1"/>
      <c r="Q38" s="1"/>
      <c r="R38" s="1"/>
      <c r="S38" s="1"/>
      <c r="T38" s="1"/>
    </row>
    <row r="39" spans="2:20" x14ac:dyDescent="0.2">
      <c r="B39" s="8"/>
      <c r="C39" s="9"/>
      <c r="D3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18E68-30B6-0E40-AE92-C38262184BAC}">
  <dimension ref="A1:W54"/>
  <sheetViews>
    <sheetView zoomScale="142" zoomScaleNormal="132" workbookViewId="0">
      <selection activeCell="D4" sqref="D4"/>
    </sheetView>
  </sheetViews>
  <sheetFormatPr baseColWidth="10" defaultRowHeight="16" x14ac:dyDescent="0.2"/>
  <cols>
    <col min="1" max="1" width="15.6640625" bestFit="1" customWidth="1"/>
    <col min="2" max="2" width="13.33203125" bestFit="1" customWidth="1"/>
    <col min="3" max="5" width="12.33203125" customWidth="1"/>
    <col min="6" max="10" width="13.33203125" bestFit="1" customWidth="1"/>
    <col min="11" max="11" width="10.6640625" bestFit="1" customWidth="1"/>
    <col min="12" max="12" width="13.33203125" bestFit="1" customWidth="1"/>
    <col min="13" max="13" width="9.33203125" style="4" bestFit="1" customWidth="1"/>
    <col min="15" max="15" width="13.1640625" bestFit="1" customWidth="1"/>
    <col min="16" max="23" width="11.1640625" bestFit="1" customWidth="1"/>
  </cols>
  <sheetData>
    <row r="1" spans="1:23" x14ac:dyDescent="0.2">
      <c r="A1" s="34" t="s">
        <v>29</v>
      </c>
      <c r="B1" s="36" t="s">
        <v>17</v>
      </c>
      <c r="C1" s="15" t="s">
        <v>21</v>
      </c>
      <c r="D1" s="15" t="s">
        <v>22</v>
      </c>
      <c r="E1" s="15" t="s">
        <v>23</v>
      </c>
      <c r="F1" s="10" t="s">
        <v>1</v>
      </c>
      <c r="G1" s="10" t="s">
        <v>2</v>
      </c>
      <c r="H1" s="10" t="s">
        <v>30</v>
      </c>
      <c r="I1" s="10" t="s">
        <v>3</v>
      </c>
      <c r="J1" s="10" t="s">
        <v>4</v>
      </c>
      <c r="K1" s="10" t="s">
        <v>5</v>
      </c>
      <c r="L1" s="10" t="s">
        <v>6</v>
      </c>
      <c r="M1" s="10" t="s">
        <v>45</v>
      </c>
      <c r="N1" s="10" t="s">
        <v>31</v>
      </c>
    </row>
    <row r="2" spans="1:23" x14ac:dyDescent="0.2">
      <c r="A2" s="40">
        <v>0</v>
      </c>
      <c r="B2" s="41">
        <v>1.1259999999999999</v>
      </c>
      <c r="C2" s="41">
        <v>0</v>
      </c>
      <c r="D2" s="41">
        <v>0</v>
      </c>
      <c r="E2" s="41">
        <v>0</v>
      </c>
      <c r="F2" s="41">
        <v>3.4725499999999998E-4</v>
      </c>
      <c r="G2" s="41">
        <v>3.4882499999999998E-4</v>
      </c>
      <c r="H2" s="41">
        <v>3.2762500000000001E-4</v>
      </c>
      <c r="I2" s="41">
        <v>3.3484000000000004E-4</v>
      </c>
      <c r="J2" s="41">
        <v>4.0747999999999999E-4</v>
      </c>
      <c r="K2" s="41">
        <v>2.9054000000000005E-4</v>
      </c>
      <c r="L2" s="41">
        <v>2.11265E-4</v>
      </c>
      <c r="M2" s="42">
        <v>2.9985499999999997E-4</v>
      </c>
      <c r="N2" s="21">
        <v>2.9082000000000001E-4</v>
      </c>
      <c r="O2" s="30"/>
      <c r="P2" s="5"/>
      <c r="Q2" s="30"/>
      <c r="R2" s="30"/>
      <c r="S2" s="30"/>
      <c r="T2" s="30"/>
      <c r="U2" s="30"/>
      <c r="V2" s="30"/>
      <c r="W2" s="30"/>
    </row>
    <row r="3" spans="1:23" x14ac:dyDescent="0.2">
      <c r="A3" s="39">
        <f>150000</f>
        <v>150000</v>
      </c>
      <c r="B3" s="41">
        <v>1.1200000000000001</v>
      </c>
      <c r="C3" s="41">
        <v>0</v>
      </c>
      <c r="D3" s="41">
        <v>0</v>
      </c>
      <c r="E3" s="41">
        <v>0</v>
      </c>
      <c r="F3" s="41">
        <v>3.6181499999999998E-4</v>
      </c>
      <c r="G3" s="41">
        <v>3.7419999999999999E-4</v>
      </c>
      <c r="H3" s="41">
        <v>3.6518999999999999E-4</v>
      </c>
      <c r="I3" s="41">
        <v>3.5364499999999998E-4</v>
      </c>
      <c r="J3" s="41">
        <v>4.4214999999999999E-4</v>
      </c>
      <c r="K3" s="41">
        <v>3.0023000000000002E-4</v>
      </c>
      <c r="L3" s="41">
        <v>2.232E-4</v>
      </c>
      <c r="M3" s="42">
        <v>3.1360999999999997E-4</v>
      </c>
      <c r="N3" s="21">
        <v>3.2466E-4</v>
      </c>
      <c r="O3" s="31"/>
      <c r="P3" s="32"/>
      <c r="Q3" s="33"/>
      <c r="R3" s="33"/>
      <c r="S3" s="33"/>
      <c r="T3" s="33"/>
      <c r="U3" s="33"/>
      <c r="V3" s="33"/>
      <c r="W3" s="33"/>
    </row>
    <row r="4" spans="1:23" x14ac:dyDescent="0.2">
      <c r="A4" s="14"/>
      <c r="B4" s="1"/>
      <c r="F4" s="25"/>
      <c r="M4"/>
      <c r="O4" s="29"/>
      <c r="P4" s="32"/>
      <c r="Q4" s="32"/>
      <c r="R4" s="32"/>
      <c r="S4" s="32"/>
      <c r="T4" s="32"/>
      <c r="U4" s="32"/>
      <c r="V4" s="32"/>
      <c r="W4" s="32"/>
    </row>
    <row r="5" spans="1:23" x14ac:dyDescent="0.2">
      <c r="A5" s="14"/>
      <c r="B5" s="25"/>
      <c r="C5" s="25"/>
      <c r="D5" s="25"/>
      <c r="E5" s="25"/>
      <c r="F5" s="26"/>
      <c r="G5" s="26"/>
      <c r="H5" s="26"/>
      <c r="I5" s="26"/>
      <c r="J5" s="26"/>
      <c r="K5" s="26"/>
      <c r="L5" s="26"/>
      <c r="O5" s="29"/>
      <c r="P5" s="32"/>
      <c r="Q5" s="32"/>
      <c r="R5" s="32"/>
      <c r="S5" s="32"/>
      <c r="T5" s="32"/>
      <c r="U5" s="32"/>
      <c r="V5" s="32"/>
      <c r="W5" s="32"/>
    </row>
    <row r="6" spans="1:23" x14ac:dyDescent="0.2">
      <c r="A6" s="14"/>
      <c r="B6" s="25"/>
      <c r="C6" s="25"/>
      <c r="D6" s="25"/>
      <c r="E6" s="25"/>
      <c r="F6" s="26"/>
      <c r="G6" s="26"/>
      <c r="H6" s="26"/>
      <c r="I6" s="26"/>
      <c r="J6" s="26"/>
      <c r="K6" s="26"/>
      <c r="L6" s="26"/>
      <c r="O6" s="29"/>
      <c r="P6" s="32"/>
      <c r="Q6" s="32"/>
      <c r="R6" s="32"/>
      <c r="S6" s="32"/>
      <c r="T6" s="32"/>
      <c r="U6" s="32"/>
      <c r="V6" s="32"/>
      <c r="W6" s="32"/>
    </row>
    <row r="7" spans="1:23" x14ac:dyDescent="0.2">
      <c r="A7" s="14"/>
      <c r="B7" s="25"/>
      <c r="C7" s="25"/>
      <c r="D7" s="25"/>
      <c r="E7" s="25"/>
      <c r="F7" s="26"/>
      <c r="G7" s="26"/>
      <c r="H7" s="26"/>
      <c r="I7" s="26"/>
      <c r="J7" s="26"/>
      <c r="K7" s="26"/>
      <c r="L7" s="26"/>
      <c r="O7" s="29"/>
      <c r="P7" s="32"/>
      <c r="Q7" s="32"/>
      <c r="R7" s="32"/>
      <c r="S7" s="32"/>
      <c r="T7" s="32"/>
      <c r="U7" s="32"/>
      <c r="V7" s="32"/>
      <c r="W7" s="32"/>
    </row>
    <row r="8" spans="1:23" x14ac:dyDescent="0.2">
      <c r="A8" s="14"/>
      <c r="B8" s="25"/>
      <c r="C8" s="25"/>
      <c r="D8" s="25"/>
      <c r="E8" s="25"/>
      <c r="F8" s="26"/>
      <c r="G8" s="26"/>
      <c r="H8" s="26"/>
      <c r="I8" s="26"/>
      <c r="J8" s="26"/>
      <c r="K8" s="26"/>
      <c r="L8" s="26"/>
      <c r="O8" s="29"/>
      <c r="P8" s="32"/>
      <c r="Q8" s="32"/>
      <c r="R8" s="32"/>
      <c r="S8" s="32"/>
      <c r="T8" s="32"/>
      <c r="U8" s="32"/>
      <c r="V8" s="32"/>
      <c r="W8" s="32"/>
    </row>
    <row r="9" spans="1:23" x14ac:dyDescent="0.2">
      <c r="A9" s="14"/>
      <c r="B9" s="25"/>
      <c r="C9" s="25"/>
      <c r="D9" s="25"/>
      <c r="E9" s="25"/>
      <c r="F9" s="26"/>
      <c r="G9" s="26"/>
      <c r="H9" s="26"/>
      <c r="I9" s="26"/>
      <c r="J9" s="26"/>
      <c r="K9" s="26"/>
      <c r="L9" s="26"/>
      <c r="O9" s="29"/>
      <c r="P9" s="32"/>
      <c r="Q9" s="32"/>
      <c r="R9" s="32"/>
      <c r="S9" s="32"/>
      <c r="T9" s="32"/>
      <c r="U9" s="32"/>
      <c r="V9" s="32"/>
      <c r="W9" s="32"/>
    </row>
    <row r="10" spans="1:23" x14ac:dyDescent="0.2">
      <c r="A10" s="14"/>
      <c r="B10" s="25"/>
      <c r="C10" s="25"/>
      <c r="D10" s="25"/>
      <c r="E10" s="25"/>
      <c r="F10" s="1"/>
      <c r="G10" s="1"/>
      <c r="H10" s="1"/>
      <c r="I10" s="1"/>
      <c r="J10" s="1"/>
      <c r="K10" s="1"/>
      <c r="L10" s="1"/>
      <c r="O10" s="29"/>
      <c r="P10" s="32"/>
      <c r="Q10" s="32"/>
      <c r="R10" s="32"/>
      <c r="S10" s="32"/>
      <c r="T10" s="32"/>
      <c r="U10" s="32"/>
      <c r="V10" s="32"/>
      <c r="W10" s="32"/>
    </row>
    <row r="11" spans="1:23" x14ac:dyDescent="0.2">
      <c r="A11" s="14"/>
      <c r="B11" s="25"/>
      <c r="C11" s="25"/>
      <c r="D11" s="25"/>
      <c r="E11" s="25"/>
      <c r="F11" s="1"/>
      <c r="G11" s="1"/>
      <c r="H11" s="1"/>
      <c r="I11" s="1"/>
      <c r="J11" s="1"/>
      <c r="K11" s="1"/>
      <c r="L11" s="1"/>
      <c r="M11" s="1"/>
      <c r="N11" s="1"/>
      <c r="O11" s="29"/>
      <c r="P11" s="32"/>
      <c r="Q11" s="32"/>
      <c r="R11" s="32"/>
      <c r="S11" s="32"/>
      <c r="T11" s="32"/>
      <c r="U11" s="32"/>
      <c r="V11" s="32"/>
      <c r="W11" s="32"/>
    </row>
    <row r="12" spans="1:23" x14ac:dyDescent="0.2">
      <c r="A12" s="14"/>
      <c r="B12" s="25"/>
      <c r="C12" s="25"/>
      <c r="D12" s="25"/>
      <c r="E12" s="25"/>
      <c r="F12" s="1"/>
      <c r="G12" s="1"/>
      <c r="H12" s="1"/>
      <c r="I12" s="1"/>
      <c r="J12" s="1"/>
      <c r="K12" s="1"/>
      <c r="L12" s="1"/>
      <c r="M12" s="1"/>
      <c r="N12" s="1"/>
      <c r="O12" s="29"/>
      <c r="P12" s="32"/>
      <c r="Q12" s="32"/>
      <c r="R12" s="32"/>
      <c r="S12" s="32"/>
      <c r="T12" s="32"/>
      <c r="U12" s="32"/>
      <c r="V12" s="32"/>
      <c r="W12" s="32"/>
    </row>
    <row r="13" spans="1:23" x14ac:dyDescent="0.2">
      <c r="A13" s="14"/>
      <c r="B13" s="25"/>
      <c r="C13" s="25"/>
      <c r="D13" s="25"/>
      <c r="E13" s="25"/>
      <c r="O13" s="29"/>
      <c r="P13" s="32"/>
      <c r="Q13" s="32"/>
      <c r="R13" s="32"/>
      <c r="S13" s="32"/>
      <c r="T13" s="32"/>
      <c r="U13" s="32"/>
      <c r="V13" s="32"/>
      <c r="W13" s="32"/>
    </row>
    <row r="14" spans="1:23" x14ac:dyDescent="0.2">
      <c r="A14" s="14"/>
      <c r="B14" s="25"/>
      <c r="C14" s="25"/>
      <c r="D14" s="25"/>
      <c r="E14" s="25"/>
      <c r="O14" s="29"/>
      <c r="P14" s="32"/>
      <c r="Q14" s="32"/>
      <c r="R14" s="32"/>
      <c r="S14" s="32"/>
      <c r="T14" s="32"/>
      <c r="U14" s="32"/>
      <c r="V14" s="32"/>
      <c r="W14" s="32"/>
    </row>
    <row r="15" spans="1:23" x14ac:dyDescent="0.2">
      <c r="A15" s="14"/>
      <c r="B15" s="25"/>
      <c r="C15" s="25"/>
      <c r="D15" s="25"/>
      <c r="E15" s="25"/>
      <c r="F15" s="26"/>
      <c r="G15" s="26"/>
      <c r="H15" s="26"/>
      <c r="I15" s="26"/>
      <c r="J15" s="26"/>
      <c r="K15" s="26"/>
      <c r="L15" s="26"/>
      <c r="O15" s="29"/>
      <c r="P15" s="32"/>
      <c r="Q15" s="32"/>
      <c r="R15" s="32"/>
      <c r="S15" s="32"/>
      <c r="T15" s="32"/>
      <c r="U15" s="32"/>
      <c r="V15" s="32"/>
      <c r="W15" s="32"/>
    </row>
    <row r="16" spans="1:23" x14ac:dyDescent="0.2">
      <c r="A16" s="14"/>
      <c r="B16" s="25"/>
      <c r="C16" s="25"/>
      <c r="D16" s="25"/>
      <c r="E16" s="25"/>
      <c r="F16" s="26"/>
      <c r="G16" s="26"/>
      <c r="H16" s="26"/>
      <c r="I16" s="26"/>
      <c r="J16" s="26"/>
      <c r="K16" s="26"/>
      <c r="L16" s="26"/>
      <c r="O16" s="29"/>
      <c r="P16" s="32"/>
      <c r="Q16" s="32"/>
      <c r="R16" s="32"/>
      <c r="S16" s="32"/>
      <c r="T16" s="32"/>
      <c r="U16" s="32"/>
      <c r="V16" s="32"/>
      <c r="W16" s="32"/>
    </row>
    <row r="17" spans="1:23" x14ac:dyDescent="0.2">
      <c r="A17" s="14"/>
      <c r="B17" s="25"/>
      <c r="C17" s="25"/>
      <c r="D17" s="25"/>
      <c r="E17" s="25"/>
      <c r="F17" s="26"/>
      <c r="G17" s="26"/>
      <c r="H17" s="26"/>
      <c r="I17" s="26"/>
      <c r="J17" s="26"/>
      <c r="K17" s="26"/>
      <c r="L17" s="26"/>
      <c r="O17" s="29"/>
      <c r="P17" s="32"/>
      <c r="Q17" s="32"/>
      <c r="R17" s="32"/>
      <c r="S17" s="32"/>
      <c r="T17" s="32"/>
      <c r="U17" s="32"/>
      <c r="V17" s="32"/>
      <c r="W17" s="32"/>
    </row>
    <row r="18" spans="1:23" x14ac:dyDescent="0.2">
      <c r="A18" s="14"/>
      <c r="B18" s="25"/>
      <c r="C18" s="25"/>
      <c r="D18" s="25"/>
      <c r="E18" s="25"/>
      <c r="F18" s="26"/>
      <c r="G18" s="26"/>
      <c r="H18" s="26"/>
      <c r="I18" s="26"/>
      <c r="J18" s="26"/>
      <c r="K18" s="26"/>
      <c r="L18" s="26"/>
      <c r="O18" s="29"/>
      <c r="P18" s="32"/>
      <c r="Q18" s="32"/>
      <c r="R18" s="32"/>
      <c r="S18" s="32"/>
      <c r="T18" s="32"/>
      <c r="U18" s="32"/>
      <c r="V18" s="32"/>
      <c r="W18" s="32"/>
    </row>
    <row r="19" spans="1:23" x14ac:dyDescent="0.2">
      <c r="A19" s="14"/>
      <c r="B19" s="25"/>
      <c r="C19" s="25"/>
      <c r="D19" s="25"/>
      <c r="E19" s="25"/>
      <c r="F19" s="26"/>
      <c r="G19" s="26"/>
      <c r="H19" s="26"/>
      <c r="I19" s="26"/>
      <c r="J19" s="26"/>
      <c r="K19" s="26"/>
      <c r="L19" s="26"/>
      <c r="O19" s="29"/>
      <c r="P19" s="32"/>
      <c r="Q19" s="32"/>
      <c r="R19" s="32"/>
      <c r="S19" s="32"/>
      <c r="T19" s="32"/>
      <c r="U19" s="32"/>
      <c r="V19" s="32"/>
      <c r="W19" s="32"/>
    </row>
    <row r="20" spans="1:23" x14ac:dyDescent="0.2">
      <c r="A20" s="14"/>
      <c r="B20" s="25"/>
      <c r="C20" s="25"/>
      <c r="D20" s="25"/>
      <c r="E20" s="25"/>
      <c r="F20" s="26"/>
      <c r="G20" s="26"/>
      <c r="H20" s="26"/>
      <c r="I20" s="26"/>
      <c r="J20" s="26"/>
      <c r="K20" s="26"/>
      <c r="L20" s="26"/>
      <c r="O20" s="29"/>
      <c r="P20" s="32"/>
      <c r="Q20" s="32"/>
      <c r="R20" s="32"/>
      <c r="S20" s="32"/>
      <c r="T20" s="32"/>
      <c r="U20" s="32"/>
      <c r="V20" s="32"/>
      <c r="W20" s="32"/>
    </row>
    <row r="21" spans="1:23" x14ac:dyDescent="0.2">
      <c r="A21" s="14"/>
      <c r="B21" s="25"/>
      <c r="C21" s="25"/>
      <c r="D21" s="25"/>
      <c r="E21" s="25"/>
      <c r="F21" s="26"/>
      <c r="G21" s="26"/>
      <c r="H21" s="26"/>
      <c r="I21" s="26"/>
      <c r="J21" s="26"/>
      <c r="K21" s="26"/>
      <c r="L21" s="26"/>
      <c r="O21" s="29"/>
      <c r="P21" s="32"/>
      <c r="Q21" s="32"/>
      <c r="R21" s="32"/>
      <c r="S21" s="32"/>
      <c r="T21" s="32"/>
      <c r="U21" s="32"/>
      <c r="V21" s="32"/>
      <c r="W21" s="32"/>
    </row>
    <row r="22" spans="1:23" x14ac:dyDescent="0.2">
      <c r="A22" s="14"/>
      <c r="B22" s="25"/>
      <c r="C22" s="25"/>
      <c r="D22" s="25"/>
      <c r="E22" s="25"/>
      <c r="F22" s="26"/>
      <c r="G22" s="26"/>
      <c r="H22" s="26"/>
      <c r="I22" s="26"/>
      <c r="J22" s="26"/>
      <c r="K22" s="26"/>
      <c r="L22" s="26"/>
      <c r="O22" s="29"/>
      <c r="P22" s="32"/>
      <c r="Q22" s="32"/>
      <c r="R22" s="32"/>
      <c r="S22" s="32"/>
      <c r="T22" s="32"/>
      <c r="U22" s="32"/>
      <c r="V22" s="32"/>
      <c r="W22" s="32"/>
    </row>
    <row r="23" spans="1:23" x14ac:dyDescent="0.2">
      <c r="A23" s="14"/>
      <c r="B23" s="25"/>
      <c r="C23" s="25"/>
      <c r="D23" s="25"/>
      <c r="E23" s="25"/>
      <c r="F23" s="26"/>
      <c r="G23" s="26"/>
      <c r="H23" s="26"/>
      <c r="I23" s="26"/>
      <c r="J23" s="26"/>
      <c r="K23" s="26"/>
      <c r="L23" s="26"/>
      <c r="O23" s="29"/>
      <c r="P23" s="32"/>
      <c r="Q23" s="32"/>
      <c r="R23" s="32"/>
      <c r="S23" s="32"/>
      <c r="T23" s="32"/>
      <c r="U23" s="32"/>
      <c r="V23" s="32"/>
      <c r="W23" s="32"/>
    </row>
    <row r="24" spans="1:23" x14ac:dyDescent="0.2">
      <c r="A24" s="14"/>
      <c r="B24" s="25"/>
      <c r="C24" s="25"/>
      <c r="D24" s="25"/>
      <c r="E24" s="25"/>
      <c r="F24" s="26"/>
      <c r="G24" s="26"/>
      <c r="H24" s="26"/>
      <c r="I24" s="26"/>
      <c r="J24" s="26"/>
      <c r="K24" s="26"/>
      <c r="L24" s="26"/>
      <c r="O24" s="29"/>
      <c r="P24" s="32"/>
      <c r="Q24" s="32"/>
      <c r="R24" s="32"/>
      <c r="S24" s="32"/>
      <c r="T24" s="32"/>
      <c r="U24" s="32"/>
      <c r="V24" s="32"/>
      <c r="W24" s="32"/>
    </row>
    <row r="25" spans="1:23" x14ac:dyDescent="0.2">
      <c r="A25" s="14"/>
      <c r="B25" s="25"/>
      <c r="C25" s="25"/>
      <c r="D25" s="25"/>
      <c r="E25" s="25"/>
      <c r="F25" s="26"/>
      <c r="G25" s="26"/>
      <c r="H25" s="26"/>
      <c r="I25" s="26"/>
      <c r="J25" s="26"/>
      <c r="K25" s="26"/>
      <c r="L25" s="26"/>
      <c r="O25" s="29"/>
      <c r="P25" s="32"/>
      <c r="Q25" s="32"/>
      <c r="R25" s="32"/>
      <c r="S25" s="32"/>
      <c r="T25" s="32"/>
      <c r="U25" s="32"/>
      <c r="V25" s="32"/>
      <c r="W25" s="32"/>
    </row>
    <row r="26" spans="1:23" x14ac:dyDescent="0.2">
      <c r="A26" s="14"/>
      <c r="B26" s="25"/>
      <c r="C26" s="25"/>
      <c r="D26" s="25"/>
      <c r="E26" s="25"/>
      <c r="F26" s="26"/>
      <c r="G26" s="26"/>
      <c r="H26" s="26"/>
      <c r="I26" s="26"/>
      <c r="J26" s="26"/>
      <c r="K26" s="26"/>
      <c r="L26" s="26"/>
      <c r="O26" s="29"/>
      <c r="P26" s="32"/>
      <c r="Q26" s="32"/>
      <c r="R26" s="32"/>
      <c r="S26" s="32"/>
      <c r="T26" s="32"/>
      <c r="U26" s="32"/>
      <c r="V26" s="32"/>
      <c r="W26" s="32"/>
    </row>
    <row r="27" spans="1:23" x14ac:dyDescent="0.2">
      <c r="A27" s="14"/>
      <c r="B27" s="25"/>
      <c r="C27" s="25"/>
      <c r="D27" s="25"/>
      <c r="E27" s="25"/>
      <c r="F27" s="26"/>
      <c r="G27" s="26"/>
      <c r="H27" s="26"/>
      <c r="I27" s="26"/>
      <c r="J27" s="26"/>
      <c r="K27" s="26"/>
      <c r="L27" s="26"/>
      <c r="O27" s="29"/>
      <c r="P27" s="32"/>
      <c r="Q27" s="32"/>
      <c r="R27" s="32"/>
      <c r="S27" s="32"/>
      <c r="T27" s="32"/>
      <c r="U27" s="32"/>
      <c r="V27" s="32"/>
      <c r="W27" s="32"/>
    </row>
    <row r="28" spans="1:23" x14ac:dyDescent="0.2">
      <c r="A28" s="14"/>
      <c r="B28" s="25"/>
      <c r="C28" s="25"/>
      <c r="D28" s="25"/>
      <c r="E28" s="25"/>
      <c r="F28" s="26"/>
      <c r="G28" s="26"/>
      <c r="H28" s="26"/>
      <c r="I28" s="26"/>
      <c r="J28" s="26"/>
      <c r="K28" s="26"/>
      <c r="L28" s="26"/>
      <c r="O28" s="29"/>
      <c r="P28" s="32"/>
      <c r="Q28" s="32"/>
      <c r="R28" s="32"/>
      <c r="S28" s="32"/>
      <c r="T28" s="32"/>
      <c r="U28" s="32"/>
      <c r="V28" s="32"/>
      <c r="W28" s="32"/>
    </row>
    <row r="29" spans="1:23" x14ac:dyDescent="0.2">
      <c r="A29" s="14"/>
      <c r="B29" s="25"/>
      <c r="C29" s="25"/>
      <c r="D29" s="25"/>
      <c r="E29" s="25"/>
      <c r="F29" s="26"/>
      <c r="G29" s="26"/>
      <c r="H29" s="26"/>
      <c r="I29" s="26"/>
      <c r="J29" s="26"/>
      <c r="K29" s="26"/>
      <c r="L29" s="26"/>
      <c r="O29" s="29"/>
      <c r="P29" s="32"/>
      <c r="Q29" s="32"/>
      <c r="R29" s="32"/>
      <c r="S29" s="32"/>
      <c r="T29" s="32"/>
      <c r="U29" s="32"/>
      <c r="V29" s="32"/>
      <c r="W29" s="32"/>
    </row>
    <row r="30" spans="1:23" x14ac:dyDescent="0.2">
      <c r="A30" s="14"/>
      <c r="B30" s="25"/>
      <c r="C30" s="25"/>
      <c r="D30" s="25"/>
      <c r="E30" s="25"/>
      <c r="F30" s="26"/>
      <c r="G30" s="26"/>
      <c r="H30" s="26"/>
      <c r="I30" s="26"/>
      <c r="J30" s="26"/>
      <c r="K30" s="26"/>
      <c r="L30" s="26"/>
      <c r="O30" s="29"/>
      <c r="P30" s="32"/>
      <c r="Q30" s="32"/>
      <c r="R30" s="32"/>
      <c r="S30" s="32"/>
      <c r="T30" s="32"/>
      <c r="U30" s="32"/>
      <c r="V30" s="32"/>
      <c r="W30" s="32"/>
    </row>
    <row r="31" spans="1:23" x14ac:dyDescent="0.2">
      <c r="A31" s="14"/>
      <c r="B31" s="25"/>
      <c r="C31" s="25"/>
      <c r="D31" s="25"/>
      <c r="E31" s="25"/>
      <c r="F31" s="26"/>
      <c r="G31" s="26"/>
      <c r="H31" s="26"/>
      <c r="I31" s="26"/>
      <c r="J31" s="26"/>
      <c r="K31" s="26"/>
      <c r="L31" s="26"/>
      <c r="O31" s="29"/>
      <c r="P31" s="32"/>
      <c r="Q31" s="32"/>
      <c r="R31" s="32"/>
      <c r="S31" s="32"/>
      <c r="T31" s="32"/>
      <c r="U31" s="32"/>
      <c r="V31" s="32"/>
      <c r="W31" s="32"/>
    </row>
    <row r="32" spans="1:23" x14ac:dyDescent="0.2">
      <c r="A32" s="14"/>
      <c r="B32" s="25"/>
      <c r="C32" s="25"/>
      <c r="D32" s="25"/>
      <c r="E32" s="25"/>
      <c r="F32" s="26"/>
      <c r="G32" s="26"/>
      <c r="H32" s="26"/>
      <c r="I32" s="26"/>
      <c r="J32" s="26"/>
      <c r="K32" s="26"/>
      <c r="L32" s="26"/>
      <c r="O32" s="29"/>
      <c r="P32" s="32"/>
      <c r="Q32" s="32"/>
      <c r="R32" s="32"/>
      <c r="S32" s="32"/>
      <c r="T32" s="32"/>
      <c r="U32" s="32"/>
      <c r="V32" s="32"/>
      <c r="W32" s="32"/>
    </row>
    <row r="33" spans="1:23" x14ac:dyDescent="0.2">
      <c r="A33" s="14"/>
      <c r="B33" s="25"/>
      <c r="C33" s="25"/>
      <c r="D33" s="25"/>
      <c r="E33" s="25"/>
      <c r="F33" s="26"/>
      <c r="G33" s="26"/>
      <c r="H33" s="26"/>
      <c r="I33" s="26"/>
      <c r="J33" s="26"/>
      <c r="K33" s="26"/>
      <c r="L33" s="26"/>
      <c r="O33" s="29"/>
      <c r="P33" s="32"/>
      <c r="Q33" s="32"/>
      <c r="R33" s="32"/>
      <c r="S33" s="32"/>
      <c r="T33" s="32"/>
      <c r="U33" s="32"/>
      <c r="V33" s="32"/>
      <c r="W33" s="32"/>
    </row>
    <row r="34" spans="1:23" x14ac:dyDescent="0.2">
      <c r="A34" s="14"/>
      <c r="B34" s="25"/>
      <c r="C34" s="25"/>
      <c r="D34" s="25"/>
      <c r="E34" s="25"/>
      <c r="F34" s="26"/>
      <c r="G34" s="26"/>
      <c r="H34" s="26"/>
      <c r="I34" s="26"/>
      <c r="J34" s="26"/>
      <c r="K34" s="26"/>
      <c r="L34" s="26"/>
      <c r="O34" s="29"/>
      <c r="P34" s="32"/>
      <c r="Q34" s="32"/>
      <c r="R34" s="32"/>
      <c r="S34" s="32"/>
      <c r="T34" s="32"/>
      <c r="U34" s="32"/>
      <c r="V34" s="32"/>
      <c r="W34" s="32"/>
    </row>
    <row r="35" spans="1:23" x14ac:dyDescent="0.2">
      <c r="A35" s="14"/>
      <c r="B35" s="25"/>
      <c r="C35" s="25"/>
      <c r="D35" s="25"/>
      <c r="E35" s="25"/>
      <c r="F35" s="26"/>
      <c r="G35" s="26"/>
      <c r="H35" s="26"/>
      <c r="I35" s="26"/>
      <c r="J35" s="26"/>
      <c r="K35" s="26"/>
      <c r="L35" s="26"/>
      <c r="O35" s="29"/>
      <c r="P35" s="32"/>
      <c r="Q35" s="32"/>
      <c r="R35" s="32"/>
      <c r="S35" s="32"/>
      <c r="T35" s="32"/>
      <c r="U35" s="32"/>
      <c r="V35" s="32"/>
      <c r="W35" s="32"/>
    </row>
    <row r="36" spans="1:23" x14ac:dyDescent="0.2">
      <c r="A36" s="14"/>
      <c r="B36" s="25"/>
      <c r="C36" s="25"/>
      <c r="D36" s="25"/>
      <c r="E36" s="25"/>
      <c r="F36" s="26"/>
      <c r="G36" s="26"/>
      <c r="H36" s="26"/>
      <c r="I36" s="26"/>
      <c r="J36" s="26"/>
      <c r="K36" s="26"/>
      <c r="L36" s="26"/>
      <c r="O36" s="29"/>
      <c r="P36" s="32"/>
      <c r="Q36" s="32"/>
      <c r="R36" s="32"/>
      <c r="S36" s="32"/>
      <c r="T36" s="32"/>
      <c r="U36" s="32"/>
      <c r="V36" s="32"/>
      <c r="W36" s="32"/>
    </row>
    <row r="37" spans="1:23" x14ac:dyDescent="0.2">
      <c r="A37" s="14"/>
      <c r="B37" s="25"/>
      <c r="C37" s="25"/>
      <c r="D37" s="25"/>
      <c r="E37" s="25"/>
      <c r="F37" s="26"/>
      <c r="G37" s="26"/>
      <c r="H37" s="26"/>
      <c r="I37" s="26"/>
      <c r="J37" s="26"/>
      <c r="K37" s="26"/>
      <c r="L37" s="26"/>
      <c r="O37" s="29"/>
      <c r="P37" s="32"/>
      <c r="Q37" s="32"/>
      <c r="R37" s="32"/>
      <c r="S37" s="32"/>
      <c r="T37" s="32"/>
      <c r="U37" s="32"/>
      <c r="V37" s="32"/>
      <c r="W37" s="32"/>
    </row>
    <row r="38" spans="1:23" x14ac:dyDescent="0.2">
      <c r="A38" s="14"/>
      <c r="B38" s="25"/>
      <c r="C38" s="25"/>
      <c r="D38" s="25"/>
      <c r="E38" s="25"/>
      <c r="F38" s="26"/>
      <c r="G38" s="26"/>
      <c r="H38" s="26"/>
      <c r="I38" s="26"/>
      <c r="J38" s="26"/>
      <c r="K38" s="26"/>
      <c r="L38" s="26"/>
      <c r="O38" s="29"/>
      <c r="P38" s="32"/>
      <c r="Q38" s="32"/>
      <c r="R38" s="32"/>
      <c r="S38" s="32"/>
      <c r="T38" s="32"/>
      <c r="U38" s="32"/>
      <c r="V38" s="32"/>
      <c r="W38" s="32"/>
    </row>
    <row r="39" spans="1:23" x14ac:dyDescent="0.2">
      <c r="A39" s="14"/>
      <c r="B39" s="25"/>
      <c r="C39" s="25"/>
      <c r="D39" s="25"/>
      <c r="E39" s="25"/>
      <c r="F39" s="26"/>
      <c r="G39" s="26"/>
      <c r="H39" s="26"/>
      <c r="I39" s="26"/>
      <c r="J39" s="26"/>
      <c r="K39" s="26"/>
      <c r="L39" s="26"/>
      <c r="O39" s="29"/>
      <c r="P39" s="32"/>
      <c r="Q39" s="32"/>
      <c r="R39" s="32"/>
      <c r="S39" s="32"/>
      <c r="T39" s="32"/>
      <c r="U39" s="32"/>
      <c r="V39" s="32"/>
      <c r="W39" s="32"/>
    </row>
    <row r="40" spans="1:23" x14ac:dyDescent="0.2">
      <c r="A40" s="14"/>
      <c r="B40" s="25"/>
      <c r="C40" s="25"/>
      <c r="D40" s="25"/>
      <c r="E40" s="25"/>
      <c r="F40" s="26"/>
      <c r="G40" s="26"/>
      <c r="H40" s="26"/>
      <c r="I40" s="26"/>
      <c r="J40" s="26"/>
      <c r="K40" s="26"/>
      <c r="L40" s="26"/>
      <c r="O40" s="29"/>
      <c r="P40" s="32"/>
      <c r="Q40" s="32"/>
      <c r="R40" s="32"/>
      <c r="S40" s="32"/>
      <c r="T40" s="32"/>
      <c r="U40" s="32"/>
      <c r="V40" s="32"/>
      <c r="W40" s="32"/>
    </row>
    <row r="41" spans="1:23" x14ac:dyDescent="0.2">
      <c r="A41" s="14"/>
      <c r="B41" s="25"/>
      <c r="C41" s="25"/>
      <c r="D41" s="25"/>
      <c r="E41" s="25"/>
      <c r="F41" s="26"/>
      <c r="G41" s="26"/>
      <c r="H41" s="26"/>
      <c r="I41" s="26"/>
      <c r="J41" s="26"/>
      <c r="K41" s="26"/>
      <c r="L41" s="26"/>
      <c r="O41" s="29"/>
      <c r="P41" s="32"/>
      <c r="Q41" s="32"/>
      <c r="R41" s="32"/>
      <c r="S41" s="32"/>
      <c r="T41" s="32"/>
      <c r="U41" s="32"/>
      <c r="V41" s="32"/>
      <c r="W41" s="32"/>
    </row>
    <row r="42" spans="1:23" x14ac:dyDescent="0.2">
      <c r="A42" s="14"/>
      <c r="B42" s="25"/>
      <c r="C42" s="25"/>
      <c r="D42" s="25"/>
      <c r="E42" s="25"/>
      <c r="F42" s="26"/>
      <c r="G42" s="26"/>
      <c r="H42" s="26"/>
      <c r="I42" s="26"/>
      <c r="J42" s="26"/>
      <c r="K42" s="26"/>
      <c r="L42" s="26"/>
      <c r="O42" s="29"/>
      <c r="P42" s="32"/>
      <c r="Q42" s="32"/>
      <c r="R42" s="32"/>
      <c r="S42" s="32"/>
      <c r="T42" s="32"/>
      <c r="U42" s="32"/>
      <c r="V42" s="32"/>
      <c r="W42" s="32"/>
    </row>
    <row r="43" spans="1:23" x14ac:dyDescent="0.2">
      <c r="A43" s="14"/>
      <c r="B43" s="25"/>
      <c r="C43" s="25"/>
      <c r="D43" s="25"/>
      <c r="E43" s="25"/>
      <c r="F43" s="26"/>
      <c r="G43" s="26"/>
      <c r="H43" s="26"/>
      <c r="I43" s="26"/>
      <c r="J43" s="26"/>
      <c r="K43" s="26"/>
      <c r="L43" s="26"/>
      <c r="O43" s="29"/>
      <c r="P43" s="32"/>
      <c r="Q43" s="32"/>
      <c r="R43" s="32"/>
      <c r="S43" s="32"/>
      <c r="T43" s="32"/>
      <c r="U43" s="32"/>
      <c r="V43" s="32"/>
      <c r="W43" s="32"/>
    </row>
    <row r="44" spans="1:23" x14ac:dyDescent="0.2">
      <c r="A44" s="14"/>
      <c r="B44" s="25"/>
      <c r="C44" s="25"/>
      <c r="D44" s="25"/>
      <c r="E44" s="25"/>
      <c r="F44" s="26"/>
      <c r="G44" s="26"/>
      <c r="H44" s="26"/>
      <c r="I44" s="26"/>
      <c r="J44" s="26"/>
      <c r="K44" s="26"/>
      <c r="L44" s="26"/>
      <c r="O44" s="29"/>
      <c r="P44" s="32"/>
      <c r="Q44" s="32"/>
      <c r="R44" s="32"/>
      <c r="S44" s="32"/>
      <c r="T44" s="32"/>
      <c r="U44" s="32"/>
      <c r="V44" s="32"/>
      <c r="W44" s="32"/>
    </row>
    <row r="45" spans="1:23" x14ac:dyDescent="0.2">
      <c r="A45" s="14"/>
      <c r="B45" s="25"/>
      <c r="C45" s="25"/>
      <c r="D45" s="25"/>
      <c r="E45" s="25"/>
      <c r="F45" s="26"/>
      <c r="G45" s="26"/>
      <c r="H45" s="26"/>
      <c r="I45" s="26"/>
      <c r="J45" s="26"/>
      <c r="K45" s="26"/>
      <c r="L45" s="26"/>
      <c r="O45" s="29"/>
      <c r="P45" s="32"/>
      <c r="Q45" s="32"/>
      <c r="R45" s="32"/>
      <c r="S45" s="32"/>
      <c r="T45" s="32"/>
      <c r="U45" s="32"/>
      <c r="V45" s="32"/>
      <c r="W45" s="32"/>
    </row>
    <row r="46" spans="1:23" x14ac:dyDescent="0.2">
      <c r="A46" s="14"/>
      <c r="B46" s="25"/>
      <c r="C46" s="25"/>
      <c r="D46" s="25"/>
      <c r="E46" s="25"/>
      <c r="F46" s="26"/>
      <c r="G46" s="26"/>
      <c r="H46" s="26"/>
      <c r="I46" s="26"/>
      <c r="J46" s="26"/>
      <c r="K46" s="26"/>
      <c r="L46" s="26"/>
      <c r="O46" s="29"/>
      <c r="P46" s="32"/>
      <c r="Q46" s="32"/>
      <c r="R46" s="32"/>
      <c r="S46" s="32"/>
      <c r="T46" s="32"/>
      <c r="U46" s="32"/>
      <c r="V46" s="32"/>
      <c r="W46" s="32"/>
    </row>
    <row r="47" spans="1:23" x14ac:dyDescent="0.2">
      <c r="A47" s="14"/>
      <c r="B47" s="25"/>
      <c r="C47" s="25"/>
      <c r="D47" s="25"/>
      <c r="E47" s="25"/>
      <c r="F47" s="26"/>
      <c r="G47" s="26"/>
      <c r="H47" s="26"/>
      <c r="I47" s="26"/>
      <c r="J47" s="26"/>
      <c r="K47" s="26"/>
      <c r="L47" s="26"/>
      <c r="O47" s="29"/>
      <c r="P47" s="32"/>
      <c r="Q47" s="32"/>
      <c r="R47" s="32"/>
      <c r="S47" s="32"/>
      <c r="T47" s="32"/>
      <c r="U47" s="32"/>
      <c r="V47" s="32"/>
      <c r="W47" s="32"/>
    </row>
    <row r="48" spans="1:23" x14ac:dyDescent="0.2">
      <c r="A48" s="14"/>
      <c r="B48" s="25"/>
      <c r="C48" s="25"/>
      <c r="D48" s="25"/>
      <c r="E48" s="25"/>
      <c r="F48" s="26"/>
      <c r="G48" s="26"/>
      <c r="H48" s="26"/>
      <c r="I48" s="26"/>
      <c r="J48" s="26"/>
      <c r="K48" s="26"/>
      <c r="L48" s="26"/>
      <c r="O48" s="29"/>
      <c r="P48" s="32"/>
      <c r="Q48" s="32"/>
      <c r="R48" s="32"/>
      <c r="S48" s="32"/>
      <c r="T48" s="32"/>
      <c r="U48" s="32"/>
      <c r="V48" s="32"/>
      <c r="W48" s="32"/>
    </row>
    <row r="49" spans="1:23" x14ac:dyDescent="0.2">
      <c r="A49" s="14"/>
      <c r="B49" s="25"/>
      <c r="C49" s="25"/>
      <c r="D49" s="25"/>
      <c r="E49" s="25"/>
      <c r="F49" s="26"/>
      <c r="G49" s="26"/>
      <c r="H49" s="26"/>
      <c r="I49" s="26"/>
      <c r="J49" s="26"/>
      <c r="K49" s="26"/>
      <c r="L49" s="26"/>
      <c r="O49" s="29"/>
      <c r="P49" s="32"/>
      <c r="Q49" s="32"/>
      <c r="R49" s="32"/>
      <c r="S49" s="32"/>
      <c r="T49" s="32"/>
      <c r="U49" s="32"/>
      <c r="V49" s="32"/>
      <c r="W49" s="32"/>
    </row>
    <row r="50" spans="1:23" x14ac:dyDescent="0.2">
      <c r="A50" s="14"/>
      <c r="B50" s="25"/>
      <c r="C50" s="25"/>
      <c r="D50" s="25"/>
      <c r="E50" s="25"/>
      <c r="F50" s="26"/>
      <c r="G50" s="26"/>
      <c r="H50" s="26"/>
      <c r="I50" s="26"/>
      <c r="J50" s="26"/>
      <c r="K50" s="26"/>
      <c r="L50" s="26"/>
      <c r="O50" s="29"/>
      <c r="P50" s="32"/>
      <c r="Q50" s="32"/>
      <c r="R50" s="32"/>
      <c r="S50" s="32"/>
      <c r="T50" s="32"/>
      <c r="U50" s="32"/>
      <c r="V50" s="32"/>
      <c r="W50" s="32"/>
    </row>
    <row r="51" spans="1:23" x14ac:dyDescent="0.2">
      <c r="A51" s="14"/>
      <c r="B51" s="25"/>
      <c r="C51" s="25"/>
      <c r="D51" s="25"/>
      <c r="E51" s="25"/>
      <c r="F51" s="26"/>
      <c r="G51" s="26"/>
      <c r="H51" s="26"/>
      <c r="I51" s="26"/>
      <c r="J51" s="26"/>
      <c r="K51" s="26"/>
      <c r="L51" s="26"/>
      <c r="O51" s="29"/>
      <c r="P51" s="32"/>
      <c r="Q51" s="32"/>
      <c r="R51" s="32"/>
      <c r="S51" s="32"/>
      <c r="T51" s="32"/>
      <c r="U51" s="32"/>
      <c r="V51" s="32"/>
      <c r="W51" s="32"/>
    </row>
    <row r="52" spans="1:23" x14ac:dyDescent="0.2">
      <c r="A52" s="28"/>
      <c r="O52" s="29"/>
      <c r="P52" s="32"/>
      <c r="Q52" s="32"/>
      <c r="R52" s="32"/>
      <c r="S52" s="32"/>
      <c r="T52" s="32"/>
      <c r="U52" s="32"/>
      <c r="V52" s="32"/>
      <c r="W52" s="32"/>
    </row>
    <row r="53" spans="1:23" x14ac:dyDescent="0.2">
      <c r="A53" s="28"/>
      <c r="Q53" s="25"/>
    </row>
    <row r="54" spans="1:23" x14ac:dyDescent="0.2">
      <c r="Q54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43A0F-AC1E-0C4B-8BC0-B66B85E92715}">
  <dimension ref="A1:W56"/>
  <sheetViews>
    <sheetView zoomScale="83" workbookViewId="0">
      <selection activeCell="D2" sqref="D2:D48"/>
    </sheetView>
  </sheetViews>
  <sheetFormatPr baseColWidth="10" defaultRowHeight="16" x14ac:dyDescent="0.2"/>
  <cols>
    <col min="1" max="1" width="11.33203125" bestFit="1" customWidth="1"/>
    <col min="2" max="2" width="11" bestFit="1" customWidth="1"/>
    <col min="3" max="3" width="11" customWidth="1"/>
    <col min="4" max="4" width="12.1640625" bestFit="1" customWidth="1"/>
    <col min="5" max="5" width="12.1640625" customWidth="1"/>
    <col min="6" max="6" width="11" bestFit="1" customWidth="1"/>
    <col min="7" max="9" width="12.1640625" bestFit="1" customWidth="1"/>
    <col min="10" max="13" width="11.1640625" bestFit="1" customWidth="1"/>
    <col min="14" max="14" width="12.5" bestFit="1" customWidth="1"/>
    <col min="15" max="15" width="11.33203125" bestFit="1" customWidth="1"/>
  </cols>
  <sheetData>
    <row r="1" spans="1:23" x14ac:dyDescent="0.2">
      <c r="A1" s="50" t="s">
        <v>29</v>
      </c>
      <c r="B1" s="51" t="s">
        <v>17</v>
      </c>
      <c r="C1" s="51" t="s">
        <v>21</v>
      </c>
      <c r="D1" s="51" t="s">
        <v>22</v>
      </c>
      <c r="E1" s="51" t="s">
        <v>23</v>
      </c>
      <c r="F1" s="50" t="s">
        <v>1</v>
      </c>
      <c r="G1" s="50" t="s">
        <v>2</v>
      </c>
      <c r="H1" s="50" t="s">
        <v>30</v>
      </c>
      <c r="I1" s="50" t="s">
        <v>3</v>
      </c>
      <c r="J1" s="50" t="s">
        <v>4</v>
      </c>
      <c r="K1" s="50" t="s">
        <v>5</v>
      </c>
      <c r="L1" s="50" t="s">
        <v>6</v>
      </c>
      <c r="M1" s="50" t="s">
        <v>45</v>
      </c>
      <c r="N1" s="52" t="s">
        <v>31</v>
      </c>
      <c r="O1" s="50" t="s">
        <v>0</v>
      </c>
    </row>
    <row r="2" spans="1:23" x14ac:dyDescent="0.2">
      <c r="A2" s="49">
        <v>0</v>
      </c>
      <c r="B2" s="50">
        <v>1.1259999999999999</v>
      </c>
      <c r="C2" s="50">
        <v>0</v>
      </c>
      <c r="D2" s="50">
        <v>0</v>
      </c>
      <c r="E2" s="50">
        <v>0</v>
      </c>
      <c r="F2" s="50">
        <v>2.2097530254399999E-6</v>
      </c>
      <c r="G2" s="50">
        <v>3.2331762185924996E-5</v>
      </c>
      <c r="H2" s="50">
        <v>1.2678111505125E-5</v>
      </c>
      <c r="I2" s="50">
        <v>0</v>
      </c>
      <c r="J2" s="50">
        <v>2.0485303162E-6</v>
      </c>
      <c r="K2" s="50">
        <v>2.5089154606200006E-6</v>
      </c>
      <c r="L2" s="50">
        <v>0</v>
      </c>
      <c r="M2" s="50">
        <v>0</v>
      </c>
      <c r="N2" s="50">
        <v>1.4267768793599999E-6</v>
      </c>
      <c r="O2" s="50">
        <v>2500</v>
      </c>
      <c r="P2" s="28"/>
    </row>
    <row r="3" spans="1:23" x14ac:dyDescent="0.2">
      <c r="A3" s="49">
        <v>3091.7103575000001</v>
      </c>
      <c r="B3" s="50">
        <v>1.1259999999999999</v>
      </c>
      <c r="C3" s="50">
        <v>0</v>
      </c>
      <c r="D3" s="50">
        <v>0</v>
      </c>
      <c r="E3" s="50">
        <v>0</v>
      </c>
      <c r="F3" s="50">
        <v>0</v>
      </c>
      <c r="G3" s="50">
        <v>7.0455425834249993E-6</v>
      </c>
      <c r="H3" s="50">
        <v>0</v>
      </c>
      <c r="I3" s="50">
        <v>0</v>
      </c>
      <c r="J3" s="50">
        <v>0</v>
      </c>
      <c r="K3" s="50">
        <v>4.5837130262000007E-7</v>
      </c>
      <c r="L3" s="50">
        <v>0</v>
      </c>
      <c r="M3" s="50">
        <v>0</v>
      </c>
      <c r="N3" s="50">
        <v>0</v>
      </c>
      <c r="O3" s="50">
        <v>2500</v>
      </c>
      <c r="P3" s="28"/>
      <c r="Q3" s="1"/>
      <c r="R3" s="1"/>
      <c r="S3" s="1"/>
      <c r="T3" s="1"/>
      <c r="U3" s="1"/>
      <c r="V3" s="1"/>
      <c r="W3" s="1"/>
    </row>
    <row r="4" spans="1:23" x14ac:dyDescent="0.2">
      <c r="A4" s="49">
        <v>6183.4207150000002</v>
      </c>
      <c r="B4" s="50">
        <v>1.1259999999999999</v>
      </c>
      <c r="C4" s="50">
        <v>0</v>
      </c>
      <c r="D4" s="50">
        <v>0</v>
      </c>
      <c r="E4" s="50">
        <v>0</v>
      </c>
      <c r="F4" s="50">
        <v>2.8264285952300002E-6</v>
      </c>
      <c r="G4" s="50">
        <v>4.2756258478574999E-5</v>
      </c>
      <c r="H4" s="50">
        <v>1.8224137348749999E-5</v>
      </c>
      <c r="I4" s="50">
        <v>3.4525553304000005E-6</v>
      </c>
      <c r="J4" s="50">
        <v>6.3458918173999994E-6</v>
      </c>
      <c r="K4" s="50">
        <v>4.7028585410200007E-6</v>
      </c>
      <c r="L4" s="50">
        <v>9.9996583594999997E-7</v>
      </c>
      <c r="M4" s="50">
        <v>1.0258639259999998E-8</v>
      </c>
      <c r="N4" s="52">
        <v>1.5107049139800001E-6</v>
      </c>
      <c r="O4" s="50">
        <v>5000</v>
      </c>
      <c r="P4" s="28"/>
    </row>
    <row r="5" spans="1:23" x14ac:dyDescent="0.2">
      <c r="A5" s="49">
        <v>9275.1310725000003</v>
      </c>
      <c r="B5" s="50">
        <v>1.1259999999999999</v>
      </c>
      <c r="C5" s="50">
        <v>0</v>
      </c>
      <c r="D5" s="50">
        <v>0</v>
      </c>
      <c r="E5" s="50">
        <v>0</v>
      </c>
      <c r="F5" s="50">
        <v>3.1758778995750002E-6</v>
      </c>
      <c r="G5" s="50">
        <v>4.0402339938374999E-5</v>
      </c>
      <c r="H5" s="50">
        <v>1.6420383168125001E-5</v>
      </c>
      <c r="I5" s="50">
        <v>2.3049183524400004E-6</v>
      </c>
      <c r="J5" s="50">
        <v>7.1015720344799999E-6</v>
      </c>
      <c r="K5" s="50">
        <v>9.1124675060000009E-6</v>
      </c>
      <c r="L5" s="50">
        <v>7.1108672277999999E-7</v>
      </c>
      <c r="M5" s="50">
        <v>0</v>
      </c>
      <c r="N5" s="52">
        <v>1.53868092552E-6</v>
      </c>
      <c r="O5" s="50">
        <v>7500</v>
      </c>
      <c r="P5" s="28"/>
    </row>
    <row r="6" spans="1:23" x14ac:dyDescent="0.2">
      <c r="A6" s="49">
        <v>12366.84143</v>
      </c>
      <c r="B6" s="50">
        <v>1.1259999999999999</v>
      </c>
      <c r="C6" s="50">
        <v>0</v>
      </c>
      <c r="D6" s="50">
        <v>0</v>
      </c>
      <c r="E6" s="50">
        <v>0</v>
      </c>
      <c r="F6" s="50">
        <v>1.8191922016449998E-6</v>
      </c>
      <c r="G6" s="50">
        <v>2.9503103983124999E-5</v>
      </c>
      <c r="H6" s="50">
        <v>1.1921363935375002E-5</v>
      </c>
      <c r="I6" s="50">
        <v>0</v>
      </c>
      <c r="J6" s="50">
        <v>7.2654543782799991E-6</v>
      </c>
      <c r="K6" s="50">
        <v>1.5716019551380002E-5</v>
      </c>
      <c r="L6" s="50">
        <v>5.7775801507500006E-7</v>
      </c>
      <c r="M6" s="50">
        <v>0</v>
      </c>
      <c r="N6" s="52">
        <v>1.2962219649600001E-6</v>
      </c>
      <c r="O6" s="50">
        <v>10000</v>
      </c>
      <c r="P6" s="28"/>
    </row>
    <row r="7" spans="1:23" x14ac:dyDescent="0.2">
      <c r="A7" s="49">
        <v>18550.262145000001</v>
      </c>
      <c r="B7" s="50">
        <v>1.1259999999999999</v>
      </c>
      <c r="C7" s="50">
        <v>0</v>
      </c>
      <c r="D7" s="50">
        <v>0</v>
      </c>
      <c r="E7" s="50">
        <v>0</v>
      </c>
      <c r="F7" s="50">
        <v>3.2889350989449995E-6</v>
      </c>
      <c r="G7" s="50">
        <v>3.7919845898474998E-5</v>
      </c>
      <c r="H7" s="50">
        <v>1.4046476632624999E-5</v>
      </c>
      <c r="I7" s="50">
        <v>0</v>
      </c>
      <c r="J7" s="50">
        <v>2.0885904899599999E-5</v>
      </c>
      <c r="K7" s="50">
        <v>4.5138754034280009E-5</v>
      </c>
      <c r="L7" s="50">
        <v>4.1776350244949997E-6</v>
      </c>
      <c r="M7" s="50">
        <v>1.6208656027899999E-6</v>
      </c>
      <c r="N7" s="52">
        <v>1.4174514452399999E-6</v>
      </c>
      <c r="O7" s="50">
        <v>15000</v>
      </c>
      <c r="P7" s="28"/>
    </row>
    <row r="8" spans="1:23" x14ac:dyDescent="0.2">
      <c r="A8" s="49">
        <v>20590.790980949998</v>
      </c>
      <c r="B8" s="50">
        <v>1.1259999999999999</v>
      </c>
      <c r="C8" s="50">
        <v>0</v>
      </c>
      <c r="D8" s="50">
        <v>0</v>
      </c>
      <c r="E8" s="50">
        <v>0</v>
      </c>
      <c r="F8" s="50">
        <v>0</v>
      </c>
      <c r="G8" s="50">
        <v>2.2700208953249997E-6</v>
      </c>
      <c r="H8" s="50">
        <v>0</v>
      </c>
      <c r="I8" s="50">
        <v>0</v>
      </c>
      <c r="J8" s="50">
        <v>1.09451817368E-6</v>
      </c>
      <c r="K8" s="50">
        <v>4.4075546728560008E-5</v>
      </c>
      <c r="L8" s="50">
        <v>0</v>
      </c>
      <c r="M8" s="50">
        <v>0</v>
      </c>
      <c r="N8" s="52">
        <v>0</v>
      </c>
      <c r="O8" s="50">
        <v>16650</v>
      </c>
      <c r="P8" s="28"/>
    </row>
    <row r="9" spans="1:23" x14ac:dyDescent="0.2">
      <c r="A9" s="49">
        <v>24733.682860000001</v>
      </c>
      <c r="B9" s="50">
        <v>1.1259999999999999</v>
      </c>
      <c r="C9" s="50">
        <v>0</v>
      </c>
      <c r="D9" s="50">
        <v>0</v>
      </c>
      <c r="E9" s="50">
        <v>0</v>
      </c>
      <c r="F9" s="50">
        <v>7.8317764026850005E-6</v>
      </c>
      <c r="G9" s="50">
        <v>4.2400203382800002E-5</v>
      </c>
      <c r="H9" s="50">
        <v>1.5020918565125002E-5</v>
      </c>
      <c r="I9" s="50">
        <v>1.0666274290760002E-5</v>
      </c>
      <c r="J9" s="50">
        <v>5.0493997027880001E-5</v>
      </c>
      <c r="K9" s="50">
        <v>8.4260455756340012E-5</v>
      </c>
      <c r="L9" s="50">
        <v>1.3043998629075E-5</v>
      </c>
      <c r="M9" s="50">
        <v>4.2470781529149996E-6</v>
      </c>
      <c r="N9" s="52">
        <v>1.4081260111199999E-6</v>
      </c>
      <c r="O9" s="50">
        <v>20000</v>
      </c>
      <c r="P9" s="28"/>
    </row>
    <row r="10" spans="1:23" x14ac:dyDescent="0.2">
      <c r="A10" s="49">
        <v>24733.682860000001</v>
      </c>
      <c r="B10" s="50">
        <v>1.1259999999999999</v>
      </c>
      <c r="C10" s="50">
        <v>0</v>
      </c>
      <c r="D10" s="50">
        <v>0</v>
      </c>
      <c r="E10" s="50">
        <v>0</v>
      </c>
      <c r="F10" s="50">
        <v>1.42193005086E-6</v>
      </c>
      <c r="G10" s="50">
        <v>3.6923164620749997E-6</v>
      </c>
      <c r="H10" s="50">
        <v>0</v>
      </c>
      <c r="I10" s="50">
        <v>0</v>
      </c>
      <c r="J10" s="50">
        <v>4.3486829144840003E-5</v>
      </c>
      <c r="K10" s="50">
        <v>7.6386229926360012E-5</v>
      </c>
      <c r="L10" s="50">
        <v>1.107688549607E-5</v>
      </c>
      <c r="M10" s="50">
        <v>4.3133856887749994E-6</v>
      </c>
      <c r="N10" s="52">
        <v>0</v>
      </c>
      <c r="O10" s="50">
        <v>20000</v>
      </c>
      <c r="P10" s="28"/>
    </row>
    <row r="11" spans="1:23" x14ac:dyDescent="0.2">
      <c r="A11" s="49">
        <v>30917.103574999997</v>
      </c>
      <c r="B11" s="50">
        <v>1.1259999999999999</v>
      </c>
      <c r="C11" s="50">
        <v>0</v>
      </c>
      <c r="D11" s="50">
        <v>0</v>
      </c>
      <c r="E11" s="50">
        <v>0</v>
      </c>
      <c r="F11" s="50">
        <v>8.4690073849449993E-6</v>
      </c>
      <c r="G11" s="50">
        <v>3.5457133026674999E-5</v>
      </c>
      <c r="H11" s="50">
        <v>1.3393393216749999E-5</v>
      </c>
      <c r="I11" s="50">
        <v>0</v>
      </c>
      <c r="J11" s="50">
        <v>7.5322184949200006E-5</v>
      </c>
      <c r="K11" s="50">
        <v>1.2063429756368002E-4</v>
      </c>
      <c r="L11" s="50">
        <v>1.9688215908070003E-5</v>
      </c>
      <c r="M11" s="50">
        <v>8.9865709903099993E-6</v>
      </c>
      <c r="N11" s="52">
        <v>1.7438381496E-6</v>
      </c>
      <c r="O11" s="50">
        <v>25000</v>
      </c>
      <c r="P11" s="28"/>
    </row>
    <row r="12" spans="1:23" x14ac:dyDescent="0.2">
      <c r="A12" s="49">
        <v>30917.103574999997</v>
      </c>
      <c r="B12" s="50">
        <v>1.1259999999999999</v>
      </c>
      <c r="C12" s="50">
        <v>0</v>
      </c>
      <c r="D12" s="50">
        <v>0</v>
      </c>
      <c r="E12" s="50">
        <v>0</v>
      </c>
      <c r="F12" s="50">
        <v>3.6203090860299994E-6</v>
      </c>
      <c r="G12" s="50">
        <v>1.1076949386225001E-5</v>
      </c>
      <c r="H12" s="50">
        <v>0</v>
      </c>
      <c r="I12" s="50">
        <v>0</v>
      </c>
      <c r="J12" s="50">
        <v>8.9639012678319996E-5</v>
      </c>
      <c r="K12" s="50">
        <v>1.0114726812274002E-4</v>
      </c>
      <c r="L12" s="50">
        <v>1.7916710925914999E-5</v>
      </c>
      <c r="M12" s="50">
        <v>1.0484701743629998E-5</v>
      </c>
      <c r="N12" s="52">
        <v>0</v>
      </c>
      <c r="O12" s="50">
        <v>25000</v>
      </c>
      <c r="P12" s="28"/>
    </row>
    <row r="13" spans="1:23" x14ac:dyDescent="0.2">
      <c r="A13" s="49">
        <v>37100.524290000001</v>
      </c>
      <c r="B13" s="50">
        <v>1.1259999999999999</v>
      </c>
      <c r="C13" s="50">
        <v>0</v>
      </c>
      <c r="D13" s="50">
        <v>0</v>
      </c>
      <c r="E13" s="50">
        <v>0</v>
      </c>
      <c r="F13" s="50">
        <v>1.4985209609149998E-5</v>
      </c>
      <c r="G13" s="50">
        <v>4.8354232426349995E-5</v>
      </c>
      <c r="H13" s="50">
        <v>1.6586245617750002E-5</v>
      </c>
      <c r="I13" s="50">
        <v>6.3168259118800002E-6</v>
      </c>
      <c r="J13" s="50">
        <v>1.1480874544588001E-4</v>
      </c>
      <c r="K13" s="50">
        <v>1.6086383208276003E-4</v>
      </c>
      <c r="L13" s="50">
        <v>3.2987761103674999E-5</v>
      </c>
      <c r="M13" s="50">
        <v>1.4310806865234999E-5</v>
      </c>
      <c r="N13" s="52">
        <v>1.62260896014E-6</v>
      </c>
      <c r="O13" s="50">
        <v>30000</v>
      </c>
      <c r="P13" s="28"/>
      <c r="R13" s="1"/>
    </row>
    <row r="14" spans="1:23" x14ac:dyDescent="0.2">
      <c r="A14" s="49">
        <v>37100.524290000001</v>
      </c>
      <c r="B14" s="50">
        <v>1.1259999999999999</v>
      </c>
      <c r="C14" s="50">
        <v>0</v>
      </c>
      <c r="D14" s="50">
        <v>0</v>
      </c>
      <c r="E14" s="50">
        <v>0</v>
      </c>
      <c r="F14" s="50">
        <v>7.5867459823299997E-6</v>
      </c>
      <c r="G14" s="50">
        <v>9.6358155253499995E-6</v>
      </c>
      <c r="H14" s="50">
        <v>0</v>
      </c>
      <c r="I14" s="50">
        <v>0</v>
      </c>
      <c r="J14" s="50">
        <v>3.3224707639716001E-4</v>
      </c>
      <c r="K14" s="50">
        <v>1.3584867220376001E-4</v>
      </c>
      <c r="L14" s="50">
        <v>2.4851653985445001E-5</v>
      </c>
      <c r="M14" s="50">
        <v>1.6123846838829998E-5</v>
      </c>
      <c r="N14" s="52">
        <v>0</v>
      </c>
      <c r="O14" s="50">
        <v>30000</v>
      </c>
      <c r="P14" s="28"/>
    </row>
    <row r="15" spans="1:23" x14ac:dyDescent="0.2">
      <c r="A15" s="49">
        <v>43283.945005000001</v>
      </c>
      <c r="B15" s="50">
        <v>1.1259999999999999</v>
      </c>
      <c r="C15" s="50">
        <v>0</v>
      </c>
      <c r="D15" s="50">
        <v>0</v>
      </c>
      <c r="E15" s="50">
        <v>0</v>
      </c>
      <c r="F15" s="50">
        <v>2.0257783682049999E-5</v>
      </c>
      <c r="G15" s="50">
        <v>4.3300231183049994E-5</v>
      </c>
      <c r="H15" s="50">
        <v>1.4937987504125E-5</v>
      </c>
      <c r="I15" s="50">
        <v>5.8249814449200008E-6</v>
      </c>
      <c r="J15" s="50">
        <v>1.4890539480356E-4</v>
      </c>
      <c r="K15" s="50">
        <v>1.9731370181622003E-4</v>
      </c>
      <c r="L15" s="50">
        <v>4.5853988052054998E-5</v>
      </c>
      <c r="M15" s="50">
        <v>2.1563667220894996E-5</v>
      </c>
      <c r="N15" s="52">
        <v>1.8277661842200001E-6</v>
      </c>
      <c r="O15" s="50">
        <v>35000</v>
      </c>
      <c r="P15" s="28"/>
    </row>
    <row r="16" spans="1:23" x14ac:dyDescent="0.2">
      <c r="A16" s="49">
        <v>43283.945005000001</v>
      </c>
      <c r="B16" s="50">
        <v>1.1259999999999999</v>
      </c>
      <c r="C16" s="50">
        <v>0</v>
      </c>
      <c r="D16" s="50">
        <v>0</v>
      </c>
      <c r="E16" s="50">
        <v>0</v>
      </c>
      <c r="F16" s="50">
        <v>2.0889277317199999E-5</v>
      </c>
      <c r="G16" s="50">
        <v>2.1786550816124999E-5</v>
      </c>
      <c r="H16" s="50">
        <v>1.3999953555000001E-6</v>
      </c>
      <c r="I16" s="50">
        <v>8.2413700424000011E-6</v>
      </c>
      <c r="J16" s="50">
        <v>1.4571280082048001E-4</v>
      </c>
      <c r="K16" s="50">
        <v>1.6312625863710003E-4</v>
      </c>
      <c r="L16" s="50">
        <v>5.0654484690270002E-5</v>
      </c>
      <c r="M16" s="50">
        <v>2.0689313429584995E-5</v>
      </c>
      <c r="N16" s="52">
        <v>0</v>
      </c>
      <c r="O16" s="50">
        <v>35000</v>
      </c>
      <c r="P16" s="28"/>
    </row>
    <row r="17" spans="1:16" x14ac:dyDescent="0.2">
      <c r="A17" s="49">
        <v>49467.365720000002</v>
      </c>
      <c r="B17" s="50">
        <v>1.1259999999999999</v>
      </c>
      <c r="C17" s="50">
        <v>0</v>
      </c>
      <c r="D17" s="50">
        <v>0</v>
      </c>
      <c r="E17" s="50">
        <v>0</v>
      </c>
      <c r="F17" s="50">
        <v>2.7154269023815003E-5</v>
      </c>
      <c r="G17" s="50">
        <v>4.3587053236949999E-5</v>
      </c>
      <c r="H17" s="50">
        <v>1.8431465328875001E-5</v>
      </c>
      <c r="I17" s="50">
        <v>2.9703549251200003E-6</v>
      </c>
      <c r="J17" s="50">
        <v>1.8165456688584001E-4</v>
      </c>
      <c r="K17" s="50">
        <v>2.3900948537766004E-4</v>
      </c>
      <c r="L17" s="50">
        <v>6.1664558686415E-5</v>
      </c>
      <c r="M17" s="50">
        <v>3.5043523706359999E-5</v>
      </c>
      <c r="N17" s="52">
        <v>2.5364919068400003E-6</v>
      </c>
      <c r="O17" s="50">
        <v>40000</v>
      </c>
      <c r="P17" s="28"/>
    </row>
    <row r="18" spans="1:16" x14ac:dyDescent="0.2">
      <c r="A18" s="49">
        <v>49467.365720000002</v>
      </c>
      <c r="B18" s="50">
        <v>1.1259999999999999</v>
      </c>
      <c r="C18" s="50">
        <v>0</v>
      </c>
      <c r="D18" s="50">
        <v>0</v>
      </c>
      <c r="E18" s="50">
        <v>0</v>
      </c>
      <c r="F18" s="50">
        <v>2.3012817691044997E-5</v>
      </c>
      <c r="G18" s="50">
        <v>8.4678378013499989E-6</v>
      </c>
      <c r="H18" s="50">
        <v>0</v>
      </c>
      <c r="I18" s="50">
        <v>2.2958103696000004E-6</v>
      </c>
      <c r="J18" s="50">
        <v>1.6272850468791999E-4</v>
      </c>
      <c r="K18" s="50">
        <v>2.0530540633304005E-4</v>
      </c>
      <c r="L18" s="50">
        <v>6.0417016889855008E-5</v>
      </c>
      <c r="M18" s="50">
        <v>3.7158604622904992E-5</v>
      </c>
      <c r="N18" s="52">
        <v>0</v>
      </c>
      <c r="O18" s="50">
        <v>40000</v>
      </c>
      <c r="P18" s="28"/>
    </row>
    <row r="19" spans="1:16" x14ac:dyDescent="0.2">
      <c r="A19" s="49">
        <v>61834.207149999995</v>
      </c>
      <c r="B19" s="50">
        <v>1.1259999999999999</v>
      </c>
      <c r="C19" s="50">
        <v>0</v>
      </c>
      <c r="D19" s="50">
        <v>0</v>
      </c>
      <c r="E19" s="50">
        <v>0</v>
      </c>
      <c r="F19" s="50">
        <v>4.9118187708139999E-5</v>
      </c>
      <c r="G19" s="50">
        <v>3.7316530736174999E-5</v>
      </c>
      <c r="H19" s="50">
        <v>1.38391486525E-5</v>
      </c>
      <c r="I19" s="50">
        <v>3.6165033744400003E-6</v>
      </c>
      <c r="J19" s="50">
        <v>2.4995712076871998E-4</v>
      </c>
      <c r="K19" s="50">
        <v>2.9536776139648004E-4</v>
      </c>
      <c r="L19" s="50">
        <v>9.030802393378001E-5</v>
      </c>
      <c r="M19" s="50">
        <v>5.9182110281079994E-5</v>
      </c>
      <c r="N19" s="52">
        <v>3.3664471097399999E-6</v>
      </c>
      <c r="O19" s="50">
        <v>50000</v>
      </c>
      <c r="P19" s="28"/>
    </row>
    <row r="20" spans="1:16" x14ac:dyDescent="0.2">
      <c r="A20" s="49">
        <v>61834.207149999995</v>
      </c>
      <c r="B20" s="50">
        <v>1.1259999999999999</v>
      </c>
      <c r="C20" s="50">
        <v>0</v>
      </c>
      <c r="D20" s="50">
        <v>0</v>
      </c>
      <c r="E20" s="50">
        <v>0</v>
      </c>
      <c r="F20" s="50">
        <v>4.4800156166105002E-5</v>
      </c>
      <c r="G20" s="50">
        <v>1.7802239923050001E-5</v>
      </c>
      <c r="H20" s="50">
        <v>1.91303841375E-7</v>
      </c>
      <c r="I20" s="50">
        <v>8.928150990880001E-6</v>
      </c>
      <c r="J20" s="50">
        <v>2.1512349574839997E-4</v>
      </c>
      <c r="K20" s="50">
        <v>2.6978296995564004E-4</v>
      </c>
      <c r="L20" s="50">
        <v>7.8031080562550011E-5</v>
      </c>
      <c r="M20" s="50">
        <v>5.9014959409734995E-5</v>
      </c>
      <c r="N20" s="52">
        <v>0</v>
      </c>
      <c r="O20" s="50">
        <v>50000</v>
      </c>
      <c r="P20" s="28"/>
    </row>
    <row r="21" spans="1:16" x14ac:dyDescent="0.2">
      <c r="A21" s="49">
        <v>74201.048580000002</v>
      </c>
      <c r="B21" s="50">
        <v>1.1259999999999999</v>
      </c>
      <c r="C21" s="50">
        <v>0</v>
      </c>
      <c r="D21" s="50">
        <v>0</v>
      </c>
      <c r="E21" s="50">
        <v>0</v>
      </c>
      <c r="F21" s="50">
        <v>7.6704129422455001E-5</v>
      </c>
      <c r="G21" s="50">
        <v>4.6128889385849997E-5</v>
      </c>
      <c r="H21" s="50">
        <v>1.6275253483750001E-5</v>
      </c>
      <c r="I21" s="50">
        <v>1.3434104925120002E-5</v>
      </c>
      <c r="J21" s="50">
        <v>3.3320939420451999E-4</v>
      </c>
      <c r="K21" s="50">
        <v>3.5188895394328002E-4</v>
      </c>
      <c r="L21" s="50">
        <v>1.2701788011696501E-4</v>
      </c>
      <c r="M21" s="50">
        <v>9.1486576705309983E-5</v>
      </c>
      <c r="N21" s="52">
        <v>4.625367919860001E-6</v>
      </c>
      <c r="O21" s="50">
        <v>60000</v>
      </c>
      <c r="P21" s="28"/>
    </row>
    <row r="22" spans="1:16" x14ac:dyDescent="0.2">
      <c r="A22" s="49">
        <v>74201.048580000002</v>
      </c>
      <c r="B22" s="50">
        <v>1.1259999999999999</v>
      </c>
      <c r="C22" s="50">
        <v>0</v>
      </c>
      <c r="D22" s="50">
        <v>0</v>
      </c>
      <c r="E22" s="50">
        <v>0</v>
      </c>
      <c r="F22" s="50">
        <v>6.976812785071E-5</v>
      </c>
      <c r="G22" s="50">
        <v>5.1193213407374992E-5</v>
      </c>
      <c r="H22" s="50">
        <v>4.1130298047499998E-6</v>
      </c>
      <c r="I22" s="50">
        <v>3.8911040177240001E-5</v>
      </c>
      <c r="J22" s="50">
        <v>2.8841567686708E-4</v>
      </c>
      <c r="K22" s="50">
        <v>2.9922658554834005E-4</v>
      </c>
      <c r="L22" s="50">
        <v>1.0663555917808002E-4</v>
      </c>
      <c r="M22" s="50">
        <v>7.7127445208274999E-5</v>
      </c>
      <c r="N22" s="52">
        <v>7.4711687082000001E-7</v>
      </c>
      <c r="O22" s="50">
        <v>60000</v>
      </c>
      <c r="P22" s="28"/>
    </row>
    <row r="23" spans="1:16" x14ac:dyDescent="0.2">
      <c r="A23" s="49">
        <v>86567.890010000003</v>
      </c>
      <c r="B23" s="50">
        <v>1.1259999999999999</v>
      </c>
      <c r="C23" s="50">
        <v>0</v>
      </c>
      <c r="D23" s="50">
        <v>0</v>
      </c>
      <c r="E23" s="50">
        <v>0</v>
      </c>
      <c r="F23" s="50">
        <v>1.07733174954535E-4</v>
      </c>
      <c r="G23" s="50">
        <v>5.0658698743949998E-5</v>
      </c>
      <c r="H23" s="50">
        <v>1.6648443913500001E-5</v>
      </c>
      <c r="I23" s="50">
        <v>1.4340641700440001E-5</v>
      </c>
      <c r="J23" s="50">
        <v>3.9748772409751998E-4</v>
      </c>
      <c r="K23" s="50">
        <v>3.5893781112640008E-4</v>
      </c>
      <c r="L23" s="50">
        <v>1.53472531162855E-4</v>
      </c>
      <c r="M23" s="50">
        <v>1.1206541395753499E-4</v>
      </c>
      <c r="N23" s="52">
        <v>6.2573020233000009E-6</v>
      </c>
      <c r="O23" s="50">
        <v>70000</v>
      </c>
      <c r="P23" s="28"/>
    </row>
    <row r="24" spans="1:16" x14ac:dyDescent="0.2">
      <c r="A24" s="49">
        <v>86567.890010000003</v>
      </c>
      <c r="B24" s="50">
        <v>1.1259999999999999</v>
      </c>
      <c r="C24" s="50">
        <v>0</v>
      </c>
      <c r="D24" s="50">
        <v>0</v>
      </c>
      <c r="E24" s="50">
        <v>0</v>
      </c>
      <c r="F24" s="50">
        <v>9.5718354056944984E-5</v>
      </c>
      <c r="G24" s="50">
        <v>2.3067558304874996E-5</v>
      </c>
      <c r="H24" s="50">
        <v>2.9130337857499998E-6</v>
      </c>
      <c r="I24" s="50">
        <v>2.0044189401280002E-5</v>
      </c>
      <c r="J24" s="50">
        <v>3.1802847416692001E-4</v>
      </c>
      <c r="K24" s="50">
        <v>3.1461348109718004E-4</v>
      </c>
      <c r="L24" s="50">
        <v>1.29040094753475E-4</v>
      </c>
      <c r="M24" s="50">
        <v>1.0702238270131999E-4</v>
      </c>
      <c r="N24" s="52">
        <v>2.6819577442800002E-6</v>
      </c>
      <c r="O24" s="50">
        <v>70000</v>
      </c>
      <c r="P24" s="28"/>
    </row>
    <row r="25" spans="1:16" x14ac:dyDescent="0.2">
      <c r="A25" s="49">
        <v>98934.731440000003</v>
      </c>
      <c r="B25" s="50">
        <v>1.1259999999999999</v>
      </c>
      <c r="C25" s="50">
        <v>0</v>
      </c>
      <c r="D25" s="50">
        <v>0</v>
      </c>
      <c r="E25" s="50">
        <v>0</v>
      </c>
      <c r="F25" s="50">
        <v>1.4141392390879001E-4</v>
      </c>
      <c r="G25" s="50">
        <v>7.1299992203625003E-5</v>
      </c>
      <c r="H25" s="50">
        <v>2.1997508159624998E-5</v>
      </c>
      <c r="I25" s="50">
        <v>3.9829758096920005E-5</v>
      </c>
      <c r="J25" s="50">
        <v>4.5253401067168005E-4</v>
      </c>
      <c r="K25" s="50">
        <v>3.4438393007506002E-4</v>
      </c>
      <c r="L25" s="50">
        <v>1.8502700797208999E-4</v>
      </c>
      <c r="M25" s="50">
        <v>1.5725473549029498E-4</v>
      </c>
      <c r="N25" s="52">
        <v>7.4229693646799999E-6</v>
      </c>
      <c r="O25" s="50">
        <v>80000</v>
      </c>
      <c r="P25" s="28"/>
    </row>
    <row r="26" spans="1:16" x14ac:dyDescent="0.2">
      <c r="A26" s="49">
        <v>98934.731440000003</v>
      </c>
      <c r="B26" s="50">
        <v>1.1259999999999999</v>
      </c>
      <c r="C26" s="50">
        <v>0</v>
      </c>
      <c r="D26" s="50">
        <v>0</v>
      </c>
      <c r="E26" s="50">
        <v>0</v>
      </c>
      <c r="F26" s="50">
        <v>1.2011568264181499E-4</v>
      </c>
      <c r="G26" s="50">
        <v>3.0725347365899996E-5</v>
      </c>
      <c r="H26" s="50">
        <v>4.7217233093749999E-6</v>
      </c>
      <c r="I26" s="50">
        <v>3.4525454191360004E-5</v>
      </c>
      <c r="J26" s="50">
        <v>3.8931403836220001E-4</v>
      </c>
      <c r="K26" s="50">
        <v>3.1534148281708006E-4</v>
      </c>
      <c r="L26" s="50">
        <v>1.5725545556255E-4</v>
      </c>
      <c r="M26" s="50">
        <v>1.3065264098685499E-4</v>
      </c>
      <c r="N26" s="52">
        <v>6.9539331237600007E-6</v>
      </c>
      <c r="O26" s="50">
        <v>80000</v>
      </c>
      <c r="P26" s="28"/>
    </row>
    <row r="27" spans="1:16" x14ac:dyDescent="0.2">
      <c r="A27" s="49">
        <v>111301.57286999999</v>
      </c>
      <c r="B27" s="50">
        <v>1.1259999999999999</v>
      </c>
      <c r="C27" s="50">
        <v>0</v>
      </c>
      <c r="D27" s="50">
        <v>0</v>
      </c>
      <c r="E27" s="50">
        <v>0</v>
      </c>
      <c r="F27" s="50">
        <v>1.6163059607138998E-4</v>
      </c>
      <c r="G27" s="50">
        <v>6.6117415460625E-5</v>
      </c>
      <c r="H27" s="50">
        <v>2.0629143032125002E-5</v>
      </c>
      <c r="I27" s="50">
        <v>3.6705099189440002E-5</v>
      </c>
      <c r="J27" s="50">
        <v>4.5891632101407998E-4</v>
      </c>
      <c r="K27" s="50">
        <v>3.2439949615412002E-4</v>
      </c>
      <c r="L27" s="50">
        <v>2.0237085969575E-4</v>
      </c>
      <c r="M27" s="50">
        <v>1.6963691757493999E-4</v>
      </c>
      <c r="N27" s="52">
        <v>1.0546957513860001E-5</v>
      </c>
      <c r="O27" s="50">
        <v>90000</v>
      </c>
      <c r="P27" s="28"/>
    </row>
    <row r="28" spans="1:16" x14ac:dyDescent="0.2">
      <c r="A28" s="49">
        <v>111301.57286999999</v>
      </c>
      <c r="B28" s="50">
        <v>1.1259999999999999</v>
      </c>
      <c r="C28" s="50">
        <v>0</v>
      </c>
      <c r="D28" s="50">
        <v>0</v>
      </c>
      <c r="E28" s="50">
        <v>0</v>
      </c>
      <c r="F28" s="50">
        <v>1.52427175614395E-4</v>
      </c>
      <c r="G28" s="50">
        <v>4.3318783789499992E-5</v>
      </c>
      <c r="H28" s="50">
        <v>7.5999747870000002E-6</v>
      </c>
      <c r="I28" s="50">
        <v>4.8359182620320005E-5</v>
      </c>
      <c r="J28" s="50">
        <v>4.3452372024819998E-4</v>
      </c>
      <c r="K28" s="50">
        <v>3.1655481853268004E-4</v>
      </c>
      <c r="L28" s="50">
        <v>2.18640943324685E-4</v>
      </c>
      <c r="M28" s="50">
        <v>2.2778784720101496E-4</v>
      </c>
      <c r="N28" s="52">
        <v>6.0621822770280002E-5</v>
      </c>
      <c r="O28" s="50">
        <v>90000</v>
      </c>
      <c r="P28" s="28"/>
    </row>
    <row r="29" spans="1:16" x14ac:dyDescent="0.2">
      <c r="A29" s="49">
        <v>123668.41429999999</v>
      </c>
      <c r="B29" s="50">
        <v>1.1259999999999999</v>
      </c>
      <c r="C29" s="50">
        <v>0</v>
      </c>
      <c r="D29" s="50">
        <v>0</v>
      </c>
      <c r="E29" s="50">
        <v>0</v>
      </c>
      <c r="F29" s="50">
        <v>1.8611260521879497E-4</v>
      </c>
      <c r="G29" s="50">
        <v>8.0498077003574999E-5</v>
      </c>
      <c r="H29" s="50">
        <v>2.2598759662375E-5</v>
      </c>
      <c r="I29" s="50">
        <v>6.4335185559480013E-5</v>
      </c>
      <c r="J29" s="50">
        <v>4.4333838547036005E-4</v>
      </c>
      <c r="K29" s="50">
        <v>2.9811562102066003E-4</v>
      </c>
      <c r="L29" s="50">
        <v>2.1289272203719003E-4</v>
      </c>
      <c r="M29" s="50">
        <v>1.9783792649603996E-4</v>
      </c>
      <c r="N29" s="52">
        <v>1.611418468278E-5</v>
      </c>
      <c r="O29" s="50">
        <v>100000</v>
      </c>
      <c r="P29" s="28"/>
    </row>
    <row r="30" spans="1:16" x14ac:dyDescent="0.2">
      <c r="A30" s="49">
        <v>123668.41429999999</v>
      </c>
      <c r="B30" s="50">
        <v>1.1259999999999999</v>
      </c>
      <c r="C30" s="50">
        <v>0</v>
      </c>
      <c r="D30" s="50">
        <v>0</v>
      </c>
      <c r="E30" s="50">
        <v>0</v>
      </c>
      <c r="F30" s="50">
        <v>1.7125839582211999E-4</v>
      </c>
      <c r="G30" s="50">
        <v>5.1485207838375002E-5</v>
      </c>
      <c r="H30" s="50">
        <v>8.6956232263750014E-6</v>
      </c>
      <c r="I30" s="50">
        <v>5.4932656360560008E-5</v>
      </c>
      <c r="J30" s="50">
        <v>4.3008484094300003E-4</v>
      </c>
      <c r="K30" s="50">
        <v>2.9198252151218005E-4</v>
      </c>
      <c r="L30" s="50">
        <v>2.38217889760025E-4</v>
      </c>
      <c r="M30" s="50">
        <v>1.7205927700171997E-4</v>
      </c>
      <c r="N30" s="52">
        <v>7.0497173081400003E-6</v>
      </c>
      <c r="O30" s="50">
        <v>100000</v>
      </c>
      <c r="P30" s="28"/>
    </row>
    <row r="31" spans="1:16" x14ac:dyDescent="0.2">
      <c r="A31" s="49">
        <v>136035.25573</v>
      </c>
      <c r="B31" s="50">
        <v>1.1259999999999999</v>
      </c>
      <c r="C31" s="50">
        <v>0</v>
      </c>
      <c r="D31" s="50">
        <v>0</v>
      </c>
      <c r="E31" s="50">
        <v>0</v>
      </c>
      <c r="F31" s="50">
        <v>2.1358549008099496E-4</v>
      </c>
      <c r="G31" s="50">
        <v>8.6907064890450001E-5</v>
      </c>
      <c r="H31" s="50">
        <v>2.3469537441000004E-5</v>
      </c>
      <c r="I31" s="50">
        <v>5.8471627867840012E-5</v>
      </c>
      <c r="J31" s="50">
        <v>4.5529269835432E-4</v>
      </c>
      <c r="K31" s="50">
        <v>2.9269592940788007E-4</v>
      </c>
      <c r="L31" s="50">
        <v>2.2540340562417999E-4</v>
      </c>
      <c r="M31" s="50">
        <v>2.0429061298941998E-4</v>
      </c>
      <c r="N31" s="52">
        <v>1.5787797687600001E-5</v>
      </c>
      <c r="O31" s="50">
        <v>110000</v>
      </c>
      <c r="P31" s="28"/>
    </row>
    <row r="32" spans="1:16" x14ac:dyDescent="0.2">
      <c r="A32" s="49">
        <v>136035.25573</v>
      </c>
      <c r="B32" s="50">
        <v>1.1259999999999999</v>
      </c>
      <c r="C32" s="50">
        <v>0</v>
      </c>
      <c r="D32" s="50">
        <v>0</v>
      </c>
      <c r="E32" s="50">
        <v>0</v>
      </c>
      <c r="F32" s="50">
        <v>1.99986998865705E-4</v>
      </c>
      <c r="G32" s="50">
        <v>7.0502521395149993E-5</v>
      </c>
      <c r="H32" s="50">
        <v>1.503473287325E-5</v>
      </c>
      <c r="I32" s="50">
        <v>7.4868923146600018E-5</v>
      </c>
      <c r="J32" s="50">
        <v>4.2952744742107997E-4</v>
      </c>
      <c r="K32" s="50">
        <v>2.9384296970628001E-4</v>
      </c>
      <c r="L32" s="50">
        <v>2.5047942261709498E-4</v>
      </c>
      <c r="M32" s="50">
        <v>2.2191529407424997E-4</v>
      </c>
      <c r="N32" s="52">
        <v>1.9338830868720003E-5</v>
      </c>
      <c r="O32" s="50">
        <v>110000</v>
      </c>
      <c r="P32" s="28"/>
    </row>
    <row r="33" spans="1:16" x14ac:dyDescent="0.2">
      <c r="A33" s="49">
        <v>148402.09716</v>
      </c>
      <c r="B33" s="50">
        <v>1.1259999999999999</v>
      </c>
      <c r="C33" s="50">
        <v>0</v>
      </c>
      <c r="D33" s="50">
        <v>0</v>
      </c>
      <c r="E33" s="50">
        <v>0</v>
      </c>
      <c r="F33" s="50">
        <v>2.5453272978833997E-4</v>
      </c>
      <c r="G33" s="50">
        <v>1.0590654965264999E-4</v>
      </c>
      <c r="H33" s="50">
        <v>2.9015563284625004E-5</v>
      </c>
      <c r="I33" s="50">
        <v>8.9207085356840019E-5</v>
      </c>
      <c r="J33" s="50">
        <v>4.6262188464199998E-4</v>
      </c>
      <c r="K33" s="50">
        <v>3.1025833676060009E-4</v>
      </c>
      <c r="L33" s="50">
        <v>2.4822484753653999E-4</v>
      </c>
      <c r="M33" s="50">
        <v>2.4334526614571499E-4</v>
      </c>
      <c r="N33" s="52">
        <v>1.5769147110180002E-5</v>
      </c>
      <c r="O33" s="50">
        <v>120000</v>
      </c>
      <c r="P33" s="28"/>
    </row>
    <row r="34" spans="1:16" x14ac:dyDescent="0.2">
      <c r="A34" s="49">
        <v>148402.09716</v>
      </c>
      <c r="B34" s="50">
        <v>1.1259999999999999</v>
      </c>
      <c r="C34" s="50">
        <v>0</v>
      </c>
      <c r="D34" s="50">
        <v>0</v>
      </c>
      <c r="E34" s="50">
        <v>0</v>
      </c>
      <c r="F34" s="50">
        <v>2.50297134499775E-4</v>
      </c>
      <c r="G34" s="50">
        <v>7.993111498747499E-5</v>
      </c>
      <c r="H34" s="50">
        <v>1.9573848163999999E-5</v>
      </c>
      <c r="I34" s="50">
        <v>9.0046779697160011E-5</v>
      </c>
      <c r="J34" s="50">
        <v>4.6732886256083996E-4</v>
      </c>
      <c r="K34" s="50">
        <v>3.1586276765130009E-4</v>
      </c>
      <c r="L34" s="50">
        <v>2.4584459787923001E-4</v>
      </c>
      <c r="M34" s="50">
        <v>2.506151807545E-4</v>
      </c>
      <c r="N34" s="52">
        <v>2.6666322282480002E-5</v>
      </c>
      <c r="O34" s="50">
        <v>120000</v>
      </c>
      <c r="P34" s="28"/>
    </row>
    <row r="35" spans="1:16" x14ac:dyDescent="0.2">
      <c r="A35" s="49">
        <v>160768.93859000001</v>
      </c>
      <c r="B35" s="50">
        <v>1.1259999999999999</v>
      </c>
      <c r="C35" s="50">
        <v>0</v>
      </c>
      <c r="D35" s="50">
        <v>0</v>
      </c>
      <c r="E35" s="50">
        <v>0</v>
      </c>
      <c r="F35" s="50">
        <v>2.95161354004555E-4</v>
      </c>
      <c r="G35" s="50">
        <v>1.2549945899309998E-4</v>
      </c>
      <c r="H35" s="50">
        <v>3.5961053731249996E-5</v>
      </c>
      <c r="I35" s="50">
        <v>9.029685829956001E-5</v>
      </c>
      <c r="J35" s="50">
        <v>4.6485250676823998E-4</v>
      </c>
      <c r="K35" s="50">
        <v>3.0976958717666004E-4</v>
      </c>
      <c r="L35" s="50">
        <v>2.5791340529637499E-4</v>
      </c>
      <c r="M35" s="50">
        <v>2.9064786796574496E-4</v>
      </c>
      <c r="N35" s="52">
        <v>2.5887139016820002E-5</v>
      </c>
      <c r="O35" s="50">
        <v>130000</v>
      </c>
      <c r="P35" s="28"/>
    </row>
    <row r="36" spans="1:16" x14ac:dyDescent="0.2">
      <c r="A36" s="49">
        <v>160768.93859000001</v>
      </c>
      <c r="B36" s="50">
        <v>1.1259999999999999</v>
      </c>
      <c r="C36" s="50">
        <v>0</v>
      </c>
      <c r="D36" s="50">
        <v>0</v>
      </c>
      <c r="E36" s="50">
        <v>0</v>
      </c>
      <c r="F36" s="50">
        <v>2.8621958150868495E-4</v>
      </c>
      <c r="G36" s="50">
        <v>1.1075065417282501E-4</v>
      </c>
      <c r="H36" s="50">
        <v>2.5452089361500001E-5</v>
      </c>
      <c r="I36" s="50">
        <v>1.1162150934484001E-4</v>
      </c>
      <c r="J36" s="50">
        <v>4.7620662117124E-4</v>
      </c>
      <c r="K36" s="50">
        <v>3.1268113151658005E-4</v>
      </c>
      <c r="L36" s="50">
        <v>2.9963796582796004E-4</v>
      </c>
      <c r="M36" s="50">
        <v>2.8347907225919001E-4</v>
      </c>
      <c r="N36" s="52">
        <v>3.1072395636419998E-5</v>
      </c>
      <c r="O36" s="50">
        <v>130000</v>
      </c>
      <c r="P36" s="28"/>
    </row>
    <row r="37" spans="1:16" x14ac:dyDescent="0.2">
      <c r="A37" s="49">
        <v>185502.62145000001</v>
      </c>
      <c r="B37" s="50">
        <v>1.1259999999999999</v>
      </c>
      <c r="C37" s="50">
        <v>0</v>
      </c>
      <c r="D37" s="50">
        <v>0</v>
      </c>
      <c r="E37" s="50">
        <v>0</v>
      </c>
      <c r="F37" s="50">
        <v>3.6286202420568497E-4</v>
      </c>
      <c r="G37" s="50">
        <v>1.7471415758114997E-4</v>
      </c>
      <c r="H37" s="50">
        <v>5.1075270067625003E-5</v>
      </c>
      <c r="I37" s="50">
        <v>1.4524842274008E-4</v>
      </c>
      <c r="J37" s="50">
        <v>4.5797854939443999E-4</v>
      </c>
      <c r="K37" s="50">
        <v>3.0982389258914E-4</v>
      </c>
      <c r="L37" s="50">
        <v>2.5546904431710497E-4</v>
      </c>
      <c r="M37" s="50">
        <v>3.4837325117204998E-4</v>
      </c>
      <c r="N37" s="52">
        <v>3.9054516762960002E-5</v>
      </c>
      <c r="O37" s="50">
        <v>150000</v>
      </c>
      <c r="P37" s="28"/>
    </row>
    <row r="38" spans="1:16" x14ac:dyDescent="0.2">
      <c r="A38" s="49">
        <v>185502.62145000001</v>
      </c>
      <c r="B38" s="50">
        <v>1.1259999999999999</v>
      </c>
      <c r="C38" s="50">
        <v>0</v>
      </c>
      <c r="D38" s="50">
        <v>0</v>
      </c>
      <c r="E38" s="50">
        <v>0</v>
      </c>
      <c r="F38" s="50">
        <v>3.4981353872548E-4</v>
      </c>
      <c r="G38" s="50">
        <v>1.3512747793087499E-4</v>
      </c>
      <c r="H38" s="50">
        <v>3.5608577392124999E-5</v>
      </c>
      <c r="I38" s="50">
        <v>1.3728749057320003E-4</v>
      </c>
      <c r="J38" s="50">
        <v>4.6018409112668002E-4</v>
      </c>
      <c r="K38" s="50">
        <v>3.0408891655618007E-4</v>
      </c>
      <c r="L38" s="50">
        <v>3.0690149715879503E-4</v>
      </c>
      <c r="M38" s="50">
        <v>3.4481877869784497E-4</v>
      </c>
      <c r="N38" s="52">
        <v>4.8131562393419998E-5</v>
      </c>
      <c r="O38" s="50">
        <v>150000</v>
      </c>
      <c r="P38" s="28"/>
    </row>
    <row r="39" spans="1:16" x14ac:dyDescent="0.2">
      <c r="A39" s="49">
        <v>210236.30431000001</v>
      </c>
      <c r="B39" s="50">
        <v>1.1259999999999999</v>
      </c>
      <c r="C39" s="50">
        <v>0</v>
      </c>
      <c r="D39" s="50">
        <v>0</v>
      </c>
      <c r="E39" s="50">
        <v>0</v>
      </c>
      <c r="F39" s="50">
        <v>4.1029463232401998E-4</v>
      </c>
      <c r="G39" s="50">
        <v>2.0013252081427501E-4</v>
      </c>
      <c r="H39" s="50">
        <v>5.4081527253749998E-5</v>
      </c>
      <c r="I39" s="50">
        <v>1.7268562888103999E-4</v>
      </c>
      <c r="J39" s="50">
        <v>4.5113190540503996E-4</v>
      </c>
      <c r="K39" s="50">
        <v>3.1321255764950003E-4</v>
      </c>
      <c r="L39" s="50">
        <v>2.5415797809275498E-4</v>
      </c>
      <c r="M39" s="50">
        <v>3.7810279794259997E-4</v>
      </c>
      <c r="N39" s="52">
        <v>4.9610799710940001E-5</v>
      </c>
      <c r="O39" s="50">
        <v>170000</v>
      </c>
      <c r="P39" s="28"/>
    </row>
    <row r="40" spans="1:16" x14ac:dyDescent="0.2">
      <c r="A40" s="49">
        <v>210236.30431000001</v>
      </c>
      <c r="B40" s="50">
        <v>1.1259999999999999</v>
      </c>
      <c r="C40" s="50">
        <v>0</v>
      </c>
      <c r="D40" s="50">
        <v>0</v>
      </c>
      <c r="E40" s="50">
        <v>0</v>
      </c>
      <c r="F40" s="50">
        <v>3.6917798322316E-4</v>
      </c>
      <c r="G40" s="50">
        <v>1.5843051578437499E-4</v>
      </c>
      <c r="H40" s="50">
        <v>4.2878118450000004E-5</v>
      </c>
      <c r="I40" s="50">
        <v>1.6745679188436002E-4</v>
      </c>
      <c r="J40" s="50">
        <v>4.3066250333508E-4</v>
      </c>
      <c r="K40" s="50">
        <v>2.8967268957982004E-4</v>
      </c>
      <c r="L40" s="50">
        <v>2.4598295089116497E-4</v>
      </c>
      <c r="M40" s="50">
        <v>3.7974599974433996E-4</v>
      </c>
      <c r="N40" s="52">
        <v>5.3821144225200005E-5</v>
      </c>
      <c r="O40" s="50">
        <v>170000</v>
      </c>
      <c r="P40" s="28"/>
    </row>
    <row r="41" spans="1:16" x14ac:dyDescent="0.2">
      <c r="A41" s="49">
        <v>234969.98716999998</v>
      </c>
      <c r="B41" s="50">
        <v>1.1259999999999999</v>
      </c>
      <c r="C41" s="50">
        <v>0</v>
      </c>
      <c r="D41" s="50">
        <v>0</v>
      </c>
      <c r="E41" s="50">
        <v>0</v>
      </c>
      <c r="F41" s="50">
        <v>4.6239341734621002E-4</v>
      </c>
      <c r="G41" s="50">
        <v>2.4885269857162501E-4</v>
      </c>
      <c r="H41" s="50">
        <v>7.3041679079375002E-5</v>
      </c>
      <c r="I41" s="50">
        <v>2.2439680634360004E-4</v>
      </c>
      <c r="J41" s="50">
        <v>4.3841280838583993E-4</v>
      </c>
      <c r="K41" s="50">
        <v>3.0471917306604002E-4</v>
      </c>
      <c r="L41" s="50">
        <v>2.4280281074718E-4</v>
      </c>
      <c r="M41" s="50">
        <v>4.0606785846057501E-4</v>
      </c>
      <c r="N41" s="52">
        <v>6.6405734104800005E-5</v>
      </c>
      <c r="O41" s="50">
        <v>190000</v>
      </c>
      <c r="P41" s="28"/>
    </row>
    <row r="42" spans="1:16" x14ac:dyDescent="0.2">
      <c r="A42" s="49">
        <v>234969.98716999998</v>
      </c>
      <c r="B42" s="50">
        <v>1.1259999999999999</v>
      </c>
      <c r="C42" s="50">
        <v>0</v>
      </c>
      <c r="D42" s="50">
        <v>0</v>
      </c>
      <c r="E42" s="50">
        <v>0</v>
      </c>
      <c r="F42" s="50">
        <v>4.1701845032586E-4</v>
      </c>
      <c r="G42" s="50">
        <v>1.98047563790325E-4</v>
      </c>
      <c r="H42" s="50">
        <v>6.4269351960375006E-5</v>
      </c>
      <c r="I42" s="50">
        <v>1.9435897861908003E-4</v>
      </c>
      <c r="J42" s="50">
        <v>4.1467037659576001E-4</v>
      </c>
      <c r="K42" s="50">
        <v>2.8805490852884004E-4</v>
      </c>
      <c r="L42" s="50">
        <v>2.3379924151088001E-4</v>
      </c>
      <c r="M42" s="50">
        <v>3.9038008265215998E-4</v>
      </c>
      <c r="N42" s="52">
        <v>8.2958698988160011E-5</v>
      </c>
      <c r="O42" s="50">
        <v>190000</v>
      </c>
      <c r="P42" s="28"/>
    </row>
    <row r="43" spans="1:16" x14ac:dyDescent="0.2">
      <c r="A43" s="49">
        <v>259703.67002999995</v>
      </c>
      <c r="B43" s="50">
        <v>1.1259999999999999</v>
      </c>
      <c r="C43" s="50">
        <v>0</v>
      </c>
      <c r="D43" s="50">
        <v>0</v>
      </c>
      <c r="E43" s="50">
        <v>0</v>
      </c>
      <c r="F43" s="50">
        <v>4.75682770006575E-4</v>
      </c>
      <c r="G43" s="50">
        <v>2.8353837929774996E-4</v>
      </c>
      <c r="H43" s="50">
        <v>8.6248477408874997E-5</v>
      </c>
      <c r="I43" s="50">
        <v>2.4822715317180001E-4</v>
      </c>
      <c r="J43" s="50">
        <v>4.2801537878667999E-4</v>
      </c>
      <c r="K43" s="50">
        <v>3.0246006331634002E-4</v>
      </c>
      <c r="L43" s="50">
        <v>2.3535862079942501E-4</v>
      </c>
      <c r="M43" s="50">
        <v>3.8809471618009994E-4</v>
      </c>
      <c r="N43" s="52">
        <v>7.9880847687060006E-5</v>
      </c>
      <c r="O43" s="50">
        <v>210000</v>
      </c>
      <c r="P43" s="28"/>
    </row>
    <row r="44" spans="1:16" x14ac:dyDescent="0.2">
      <c r="A44" s="49">
        <v>259703.67002999995</v>
      </c>
      <c r="B44" s="50">
        <v>1.1259999999999999</v>
      </c>
      <c r="C44" s="50">
        <v>0</v>
      </c>
      <c r="D44" s="50">
        <v>0</v>
      </c>
      <c r="E44" s="50">
        <v>0</v>
      </c>
      <c r="F44" s="50">
        <v>5.2671288158607002E-4</v>
      </c>
      <c r="G44" s="50">
        <v>2.7132874141747498E-4</v>
      </c>
      <c r="H44" s="50">
        <v>9.3904036398124993E-5</v>
      </c>
      <c r="I44" s="50">
        <v>2.8897775642692001E-4</v>
      </c>
      <c r="J44" s="50">
        <v>4.8059482830103994E-4</v>
      </c>
      <c r="K44" s="50">
        <v>3.3691189702384004E-4</v>
      </c>
      <c r="L44" s="50">
        <v>3.1279014586926E-4</v>
      </c>
      <c r="M44" s="50">
        <v>4.5930089141946997E-4</v>
      </c>
      <c r="N44" s="52">
        <v>1.0536262433868E-4</v>
      </c>
      <c r="O44" s="50">
        <v>210000</v>
      </c>
      <c r="P44" s="28"/>
    </row>
    <row r="45" spans="1:16" x14ac:dyDescent="0.2">
      <c r="A45" s="49">
        <v>284437.35288999998</v>
      </c>
      <c r="B45" s="50">
        <v>1.1259999999999999</v>
      </c>
      <c r="C45" s="50">
        <v>0</v>
      </c>
      <c r="D45" s="50">
        <v>0</v>
      </c>
      <c r="E45" s="50">
        <v>0</v>
      </c>
      <c r="F45" s="50">
        <v>4.7291800903777499E-4</v>
      </c>
      <c r="G45" s="50">
        <v>3.3619494183494998E-4</v>
      </c>
      <c r="H45" s="50">
        <v>1.0988387729950001E-4</v>
      </c>
      <c r="I45" s="50">
        <v>3.0113418792072005E-4</v>
      </c>
      <c r="J45" s="50">
        <v>4.2708671149268006E-4</v>
      </c>
      <c r="K45" s="50">
        <v>2.9948412020434006E-4</v>
      </c>
      <c r="L45" s="50">
        <v>2.3323647105743498E-4</v>
      </c>
      <c r="M45" s="50">
        <v>3.9003359959994996E-4</v>
      </c>
      <c r="N45" s="52">
        <v>9.6890264739120006E-5</v>
      </c>
      <c r="O45" s="50">
        <v>230000</v>
      </c>
      <c r="P45" s="28"/>
    </row>
    <row r="46" spans="1:16" x14ac:dyDescent="0.2">
      <c r="A46" s="49">
        <v>284437.35288999998</v>
      </c>
      <c r="B46" s="50">
        <v>1.1259999999999999</v>
      </c>
      <c r="C46" s="50">
        <v>0</v>
      </c>
      <c r="D46" s="50">
        <v>0</v>
      </c>
      <c r="E46" s="50">
        <v>0</v>
      </c>
      <c r="F46" s="50">
        <v>4.6262311958361E-4</v>
      </c>
      <c r="G46" s="50">
        <v>2.7606658616849996E-4</v>
      </c>
      <c r="H46" s="50">
        <v>1.0351270004525001E-4</v>
      </c>
      <c r="I46" s="50">
        <v>2.8726080439056003E-4</v>
      </c>
      <c r="J46" s="50">
        <v>3.9712768210415999E-4</v>
      </c>
      <c r="K46" s="50">
        <v>2.9201847206016007E-4</v>
      </c>
      <c r="L46" s="50">
        <v>2.3466394767702499E-4</v>
      </c>
      <c r="M46" s="50">
        <v>4.1928536910784496E-4</v>
      </c>
      <c r="N46" s="52">
        <v>1.163107587363E-4</v>
      </c>
      <c r="O46" s="50">
        <v>230000</v>
      </c>
      <c r="P46" s="28"/>
    </row>
    <row r="47" spans="1:16" x14ac:dyDescent="0.2">
      <c r="A47" s="49">
        <v>309171.03574999998</v>
      </c>
      <c r="B47" s="50">
        <v>1.1259999999999999</v>
      </c>
      <c r="C47" s="50">
        <v>0</v>
      </c>
      <c r="D47" s="50">
        <v>0</v>
      </c>
      <c r="E47" s="50">
        <v>0</v>
      </c>
      <c r="F47" s="50">
        <v>4.4612346737179495E-4</v>
      </c>
      <c r="G47" s="50">
        <v>3.6629147039632495E-4</v>
      </c>
      <c r="H47" s="50">
        <v>1.21929638154E-4</v>
      </c>
      <c r="I47" s="50">
        <v>3.4080964170044004E-4</v>
      </c>
      <c r="J47" s="50">
        <v>4.2099574812784002E-4</v>
      </c>
      <c r="K47" s="50">
        <v>3.0097209176034004E-4</v>
      </c>
      <c r="L47" s="50">
        <v>2.2793665233816499E-4</v>
      </c>
      <c r="M47" s="50">
        <v>3.6455113098231496E-4</v>
      </c>
      <c r="N47" s="52">
        <v>1.2098693901738002E-4</v>
      </c>
      <c r="O47" s="50">
        <v>250000</v>
      </c>
      <c r="P47" s="28"/>
    </row>
    <row r="48" spans="1:16" x14ac:dyDescent="0.2">
      <c r="A48" s="49">
        <v>309171.03574999998</v>
      </c>
      <c r="B48" s="50">
        <v>1.1259999999999999</v>
      </c>
      <c r="C48" s="50">
        <v>0</v>
      </c>
      <c r="D48" s="50">
        <v>0</v>
      </c>
      <c r="E48" s="50">
        <v>0</v>
      </c>
      <c r="F48" s="50">
        <v>4.5217380374741503E-4</v>
      </c>
      <c r="G48" s="50">
        <v>3.2837126241749999E-4</v>
      </c>
      <c r="H48" s="50">
        <v>1.3000826422012501E-4</v>
      </c>
      <c r="I48" s="50">
        <v>3.4293910824580002E-4</v>
      </c>
      <c r="J48" s="50">
        <v>3.9101662223320002E-4</v>
      </c>
      <c r="K48" s="50">
        <v>2.8219494596490004E-4</v>
      </c>
      <c r="L48" s="50">
        <v>2.5476836514201997E-4</v>
      </c>
      <c r="M48" s="50">
        <v>4.01378282784885E-4</v>
      </c>
      <c r="N48" s="52">
        <v>1.4797701666486001E-4</v>
      </c>
      <c r="O48" s="50">
        <v>250000</v>
      </c>
      <c r="P48" s="28"/>
    </row>
    <row r="49" spans="1:15" x14ac:dyDescent="0.2">
      <c r="A49" s="1"/>
      <c r="B49" s="1"/>
      <c r="C49" s="1"/>
      <c r="D49" s="1"/>
      <c r="E49" s="1"/>
      <c r="F49" s="53"/>
      <c r="G49" s="53"/>
      <c r="H49" s="53"/>
      <c r="I49" s="53"/>
      <c r="J49" s="53"/>
      <c r="K49" s="53"/>
      <c r="L49" s="53"/>
      <c r="M49" s="1"/>
      <c r="O49" s="1"/>
    </row>
    <row r="50" spans="1:15" x14ac:dyDescent="0.2">
      <c r="A50" s="1"/>
      <c r="B50" s="1"/>
      <c r="C50" s="1"/>
      <c r="D50" s="1"/>
      <c r="E50" s="1"/>
      <c r="F50" s="53"/>
      <c r="G50" s="53"/>
      <c r="H50" s="53"/>
      <c r="I50" s="53"/>
      <c r="J50" s="53"/>
      <c r="K50" s="53"/>
      <c r="L50" s="53"/>
      <c r="M50" s="1"/>
      <c r="O50" s="1"/>
    </row>
    <row r="51" spans="1:15" x14ac:dyDescent="0.2">
      <c r="A51" s="29"/>
      <c r="B51" s="29"/>
      <c r="C51" s="29"/>
      <c r="D51" s="29"/>
      <c r="E51" s="29"/>
      <c r="F51" s="54"/>
      <c r="G51" s="54"/>
      <c r="H51" s="54"/>
      <c r="I51" s="54"/>
      <c r="J51" s="54"/>
      <c r="K51" s="54"/>
      <c r="L51" s="54"/>
      <c r="M51" s="54"/>
      <c r="O51" s="1"/>
    </row>
    <row r="54" spans="1:15" x14ac:dyDescent="0.2">
      <c r="O54" s="1"/>
    </row>
    <row r="55" spans="1:15" x14ac:dyDescent="0.2">
      <c r="O55" s="1"/>
    </row>
    <row r="56" spans="1:15" x14ac:dyDescent="0.2">
      <c r="O5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D82F-D1B6-DE43-93D4-95F5D0430C50}">
  <dimension ref="A1:AD58"/>
  <sheetViews>
    <sheetView topLeftCell="B3" zoomScaleNormal="100" workbookViewId="0">
      <selection activeCell="N6" sqref="N6"/>
    </sheetView>
  </sheetViews>
  <sheetFormatPr baseColWidth="10" defaultRowHeight="16" x14ac:dyDescent="0.2"/>
  <cols>
    <col min="1" max="1" width="11.33203125" bestFit="1" customWidth="1"/>
    <col min="13" max="13" width="12.1640625" bestFit="1" customWidth="1"/>
  </cols>
  <sheetData>
    <row r="1" spans="1:30" x14ac:dyDescent="0.2">
      <c r="A1" s="50" t="s">
        <v>29</v>
      </c>
      <c r="B1" s="10" t="s">
        <v>1</v>
      </c>
      <c r="C1" s="10" t="s">
        <v>2</v>
      </c>
      <c r="D1" s="10" t="s">
        <v>30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45</v>
      </c>
      <c r="J1" s="10" t="s">
        <v>31</v>
      </c>
      <c r="K1" s="10" t="s">
        <v>0</v>
      </c>
      <c r="M1" s="1"/>
      <c r="N1" s="1"/>
      <c r="O1" s="1"/>
      <c r="P1" s="1"/>
      <c r="Q1" s="1"/>
      <c r="R1" s="1"/>
      <c r="S1" s="1"/>
      <c r="T1" s="1"/>
      <c r="U1" s="1"/>
    </row>
    <row r="2" spans="1:30" x14ac:dyDescent="0.2">
      <c r="A2" s="49">
        <v>0</v>
      </c>
      <c r="B2" s="48">
        <v>6.3634879999999996E-3</v>
      </c>
      <c r="C2" s="48">
        <v>9.2687628999999994E-2</v>
      </c>
      <c r="D2" s="48">
        <v>3.8697020999999998E-2</v>
      </c>
      <c r="E2" s="48">
        <v>0</v>
      </c>
      <c r="F2" s="48">
        <v>5.0273150000000001E-3</v>
      </c>
      <c r="G2" s="48">
        <v>8.6353530000000001E-3</v>
      </c>
      <c r="H2" s="48">
        <v>0</v>
      </c>
      <c r="I2" s="48">
        <v>0</v>
      </c>
      <c r="J2" s="48">
        <v>4.9060479999999997E-3</v>
      </c>
      <c r="K2" s="10">
        <v>2500</v>
      </c>
      <c r="M2" s="1"/>
      <c r="N2" s="1"/>
      <c r="O2" s="1"/>
      <c r="P2" s="1"/>
      <c r="Q2" s="1"/>
      <c r="R2" s="1"/>
      <c r="S2" s="1"/>
      <c r="T2" s="1"/>
      <c r="U2" s="1"/>
      <c r="V2" s="26"/>
      <c r="W2" s="26"/>
      <c r="X2" s="26"/>
      <c r="Y2" s="26"/>
      <c r="Z2" s="26"/>
      <c r="AA2" s="26"/>
      <c r="AB2" s="26"/>
      <c r="AC2" s="26"/>
      <c r="AD2" s="26"/>
    </row>
    <row r="3" spans="1:30" x14ac:dyDescent="0.2">
      <c r="A3" s="49">
        <v>3091.7103575000001</v>
      </c>
      <c r="B3" s="48">
        <v>0</v>
      </c>
      <c r="C3" s="48">
        <v>2.0197929E-2</v>
      </c>
      <c r="D3" s="48">
        <v>0</v>
      </c>
      <c r="E3" s="48">
        <v>0</v>
      </c>
      <c r="F3" s="48">
        <v>0</v>
      </c>
      <c r="G3" s="48">
        <v>1.577653E-3</v>
      </c>
      <c r="H3" s="48">
        <v>0</v>
      </c>
      <c r="I3" s="48">
        <v>0</v>
      </c>
      <c r="J3" s="48">
        <v>0</v>
      </c>
      <c r="K3" s="10">
        <v>2500</v>
      </c>
      <c r="M3" s="1"/>
      <c r="N3" s="1"/>
      <c r="O3" s="1"/>
      <c r="P3" s="1"/>
      <c r="Q3" s="1"/>
      <c r="R3" s="1"/>
      <c r="S3" s="1"/>
      <c r="T3" s="1"/>
      <c r="U3" s="1"/>
      <c r="V3" s="26"/>
      <c r="W3" s="26"/>
      <c r="X3" s="26"/>
      <c r="Y3" s="26"/>
      <c r="Z3" s="26"/>
      <c r="AA3" s="26"/>
      <c r="AB3" s="26"/>
      <c r="AC3" s="26"/>
      <c r="AD3" s="26"/>
    </row>
    <row r="4" spans="1:30" x14ac:dyDescent="0.2">
      <c r="A4" s="49">
        <v>6183.4207150000002</v>
      </c>
      <c r="B4" s="48">
        <v>8.1393460000000004E-3</v>
      </c>
      <c r="C4" s="48">
        <v>0.122572231</v>
      </c>
      <c r="D4" s="48">
        <v>5.5624989999999999E-2</v>
      </c>
      <c r="E4" s="48">
        <v>1.031106E-2</v>
      </c>
      <c r="F4" s="48">
        <v>1.5573505E-2</v>
      </c>
      <c r="G4" s="48">
        <v>1.6186612999999999E-2</v>
      </c>
      <c r="H4" s="48">
        <v>4.7332299999999997E-3</v>
      </c>
      <c r="I4" s="48">
        <v>3.4211999999999997E-5</v>
      </c>
      <c r="J4" s="48">
        <v>5.194639E-3</v>
      </c>
      <c r="K4" s="10">
        <v>5000</v>
      </c>
      <c r="M4" s="1"/>
      <c r="N4" s="1"/>
      <c r="O4" s="1"/>
      <c r="P4" s="1"/>
      <c r="Q4" s="1"/>
      <c r="R4" s="1"/>
      <c r="S4" s="1"/>
      <c r="T4" s="26"/>
      <c r="U4" s="1"/>
      <c r="V4" s="26"/>
      <c r="W4" s="26"/>
      <c r="X4" s="26"/>
      <c r="Y4" s="26"/>
      <c r="Z4" s="26"/>
      <c r="AA4" s="26"/>
      <c r="AB4" s="26"/>
      <c r="AC4" s="26"/>
      <c r="AD4" s="26"/>
    </row>
    <row r="5" spans="1:30" x14ac:dyDescent="0.2">
      <c r="A5" s="49">
        <v>9275.1310725000003</v>
      </c>
      <c r="B5" s="48">
        <v>9.1456650000000007E-3</v>
      </c>
      <c r="C5" s="48">
        <v>0.115824095</v>
      </c>
      <c r="D5" s="48">
        <v>5.0119444999999999E-2</v>
      </c>
      <c r="E5" s="48">
        <v>6.8836410000000002E-3</v>
      </c>
      <c r="F5" s="48">
        <v>1.7428025999999999E-2</v>
      </c>
      <c r="G5" s="48">
        <v>3.13639E-2</v>
      </c>
      <c r="H5" s="48">
        <v>3.3658519999999999E-3</v>
      </c>
      <c r="I5" s="48">
        <v>0</v>
      </c>
      <c r="J5" s="48">
        <v>5.2908360000000001E-3</v>
      </c>
      <c r="K5" s="10">
        <v>7500</v>
      </c>
      <c r="M5" s="1"/>
      <c r="N5" s="1"/>
      <c r="O5" s="1"/>
      <c r="P5" s="1"/>
      <c r="Q5" s="1"/>
      <c r="R5" s="1"/>
      <c r="S5" s="1"/>
      <c r="T5" s="1"/>
      <c r="U5" s="1"/>
      <c r="V5" s="26"/>
      <c r="W5" s="26"/>
      <c r="X5" s="26"/>
      <c r="Y5" s="26"/>
      <c r="Z5" s="26"/>
      <c r="AA5" s="26"/>
      <c r="AB5" s="26"/>
      <c r="AC5" s="26"/>
      <c r="AD5" s="26"/>
    </row>
    <row r="6" spans="1:30" x14ac:dyDescent="0.2">
      <c r="A6" s="49">
        <v>12366.84143</v>
      </c>
      <c r="B6" s="48">
        <v>5.2387789999999998E-3</v>
      </c>
      <c r="C6" s="48">
        <v>8.4578525000000002E-2</v>
      </c>
      <c r="D6" s="48">
        <v>3.6387223000000003E-2</v>
      </c>
      <c r="E6" s="48">
        <v>0</v>
      </c>
      <c r="F6" s="48">
        <v>1.7830210999999999E-2</v>
      </c>
      <c r="G6" s="48">
        <v>5.4092447000000002E-2</v>
      </c>
      <c r="H6" s="48">
        <v>2.7347550000000002E-3</v>
      </c>
      <c r="I6" s="48">
        <v>0</v>
      </c>
      <c r="J6" s="48">
        <v>4.4571280000000003E-3</v>
      </c>
      <c r="K6" s="10">
        <v>10000</v>
      </c>
      <c r="M6" s="1"/>
      <c r="N6" s="1"/>
      <c r="O6" s="1"/>
      <c r="P6" s="1"/>
      <c r="Q6" s="1"/>
      <c r="R6" s="1"/>
      <c r="S6" s="1"/>
      <c r="T6" s="1"/>
      <c r="U6" s="1"/>
      <c r="V6" s="26"/>
      <c r="W6" s="26"/>
      <c r="X6" s="26"/>
      <c r="Y6" s="26"/>
      <c r="Z6" s="26"/>
      <c r="AA6" s="26"/>
      <c r="AB6" s="26"/>
      <c r="AC6" s="26"/>
      <c r="AD6" s="26"/>
    </row>
    <row r="7" spans="1:30" x14ac:dyDescent="0.2">
      <c r="A7" s="49">
        <v>18550.262145000001</v>
      </c>
      <c r="B7" s="48">
        <v>9.4712389999999994E-3</v>
      </c>
      <c r="C7" s="48">
        <v>0.108707363</v>
      </c>
      <c r="D7" s="48">
        <v>4.2873640999999997E-2</v>
      </c>
      <c r="E7" s="48">
        <v>0</v>
      </c>
      <c r="F7" s="48">
        <v>5.125627E-2</v>
      </c>
      <c r="G7" s="48">
        <v>0.155361582</v>
      </c>
      <c r="H7" s="48">
        <v>1.9774383E-2</v>
      </c>
      <c r="I7" s="48">
        <v>5.4054979999999999E-3</v>
      </c>
      <c r="J7" s="48">
        <v>4.8739819999999998E-3</v>
      </c>
      <c r="K7" s="10">
        <v>15000</v>
      </c>
      <c r="M7" s="1"/>
      <c r="N7" s="1"/>
      <c r="O7" s="1"/>
      <c r="P7" s="1"/>
      <c r="Q7" s="1"/>
      <c r="R7" s="1"/>
      <c r="S7" s="1"/>
      <c r="T7" s="1"/>
      <c r="U7" s="1"/>
      <c r="V7" s="26"/>
      <c r="W7" s="26"/>
      <c r="X7" s="26"/>
      <c r="Y7" s="26"/>
      <c r="Z7" s="26"/>
      <c r="AA7" s="26"/>
      <c r="AB7" s="26"/>
      <c r="AC7" s="26"/>
      <c r="AD7" s="26"/>
    </row>
    <row r="8" spans="1:30" x14ac:dyDescent="0.2">
      <c r="A8" s="49">
        <v>20590.790980949998</v>
      </c>
      <c r="B8" s="48">
        <v>0</v>
      </c>
      <c r="C8" s="48">
        <v>6.5076209999999999E-3</v>
      </c>
      <c r="D8" s="48">
        <v>0</v>
      </c>
      <c r="E8" s="48">
        <v>0</v>
      </c>
      <c r="F8" s="48">
        <v>2.686066E-3</v>
      </c>
      <c r="G8" s="48">
        <v>0.151702164</v>
      </c>
      <c r="H8" s="48">
        <v>0</v>
      </c>
      <c r="I8" s="48">
        <v>0</v>
      </c>
      <c r="J8" s="48">
        <v>0</v>
      </c>
      <c r="K8" s="10">
        <v>16650</v>
      </c>
      <c r="M8" s="1"/>
      <c r="N8" s="1"/>
      <c r="O8" s="1"/>
      <c r="P8" s="1"/>
      <c r="Q8" s="1"/>
      <c r="R8" s="1"/>
      <c r="S8" s="1"/>
      <c r="T8" s="1"/>
      <c r="U8" s="1"/>
      <c r="V8" s="26"/>
      <c r="W8" s="26"/>
      <c r="X8" s="26"/>
      <c r="Y8" s="26"/>
      <c r="Z8" s="26"/>
      <c r="AA8" s="26"/>
      <c r="AB8" s="26"/>
      <c r="AC8" s="26"/>
      <c r="AD8" s="26"/>
    </row>
    <row r="9" spans="1:30" x14ac:dyDescent="0.2">
      <c r="A9" s="49">
        <v>24733.682860000001</v>
      </c>
      <c r="B9" s="48">
        <v>2.2553387000000001E-2</v>
      </c>
      <c r="C9" s="48">
        <v>0.121551504</v>
      </c>
      <c r="D9" s="48">
        <v>4.5847901000000003E-2</v>
      </c>
      <c r="E9" s="48">
        <v>3.1854839000000003E-2</v>
      </c>
      <c r="F9" s="48">
        <v>0.123917731</v>
      </c>
      <c r="G9" s="48">
        <v>0.29001327100000002</v>
      </c>
      <c r="H9" s="48">
        <v>6.1742354999999999E-2</v>
      </c>
      <c r="I9" s="48">
        <v>1.4163772999999999E-2</v>
      </c>
      <c r="J9" s="48">
        <v>4.8419159999999999E-3</v>
      </c>
      <c r="K9" s="10">
        <v>20000</v>
      </c>
      <c r="M9" s="1"/>
      <c r="N9" s="1"/>
      <c r="O9" s="1"/>
      <c r="P9" s="1"/>
      <c r="Q9" s="1"/>
      <c r="R9" s="1"/>
      <c r="S9" s="1"/>
      <c r="T9" s="1"/>
      <c r="U9" s="1"/>
      <c r="V9" s="26"/>
      <c r="W9" s="26"/>
      <c r="X9" s="26"/>
      <c r="Y9" s="26"/>
      <c r="Z9" s="26"/>
      <c r="AA9" s="26"/>
      <c r="AB9" s="26"/>
      <c r="AC9" s="26"/>
      <c r="AD9" s="26"/>
    </row>
    <row r="10" spans="1:30" x14ac:dyDescent="0.2">
      <c r="A10" s="49">
        <v>24733.682860000001</v>
      </c>
      <c r="B10" s="48">
        <v>4.094772E-3</v>
      </c>
      <c r="C10" s="48">
        <v>1.0585011E-2</v>
      </c>
      <c r="D10" s="48">
        <v>0</v>
      </c>
      <c r="E10" s="48">
        <v>0</v>
      </c>
      <c r="F10" s="48">
        <v>0.106721383</v>
      </c>
      <c r="G10" s="48">
        <v>0.26291123399999999</v>
      </c>
      <c r="H10" s="48">
        <v>5.2431237999999998E-2</v>
      </c>
      <c r="I10" s="48">
        <v>1.4384905E-2</v>
      </c>
      <c r="J10" s="48">
        <v>0</v>
      </c>
      <c r="K10" s="10">
        <v>20000</v>
      </c>
      <c r="M10" s="1"/>
      <c r="N10" s="1"/>
      <c r="O10" s="1"/>
      <c r="P10" s="1"/>
      <c r="Q10" s="1"/>
      <c r="R10" s="1"/>
      <c r="S10" s="1"/>
      <c r="T10" s="1"/>
      <c r="U10" s="1"/>
      <c r="V10" s="26"/>
      <c r="W10" s="26"/>
      <c r="X10" s="26"/>
      <c r="Y10" s="26"/>
      <c r="Z10" s="26"/>
      <c r="AA10" s="26"/>
      <c r="AB10" s="26"/>
      <c r="AC10" s="26"/>
      <c r="AD10" s="26"/>
    </row>
    <row r="11" spans="1:30" x14ac:dyDescent="0.2">
      <c r="A11" s="49">
        <v>30917.103574999997</v>
      </c>
      <c r="B11" s="48">
        <v>2.4388439000000001E-2</v>
      </c>
      <c r="C11" s="48">
        <v>0.101647339</v>
      </c>
      <c r="D11" s="48">
        <v>4.0880253999999998E-2</v>
      </c>
      <c r="E11" s="48">
        <v>0</v>
      </c>
      <c r="F11" s="48">
        <v>0.18484879000000001</v>
      </c>
      <c r="G11" s="48">
        <v>0.415207192</v>
      </c>
      <c r="H11" s="48">
        <v>9.3192038000000005E-2</v>
      </c>
      <c r="I11" s="48">
        <v>2.9969722000000001E-2</v>
      </c>
      <c r="J11" s="48">
        <v>5.9962799999999997E-3</v>
      </c>
      <c r="K11" s="10">
        <v>25000</v>
      </c>
      <c r="M11" s="1"/>
      <c r="N11" s="1"/>
      <c r="O11" s="1"/>
      <c r="P11" s="1"/>
      <c r="Q11" s="1"/>
      <c r="R11" s="1"/>
      <c r="S11" s="1"/>
      <c r="T11" s="1"/>
      <c r="U11" s="1"/>
      <c r="V11" s="26"/>
      <c r="W11" s="26"/>
      <c r="X11" s="26"/>
      <c r="Y11" s="26"/>
      <c r="Z11" s="26"/>
      <c r="AA11" s="26"/>
      <c r="AB11" s="26"/>
      <c r="AC11" s="26"/>
      <c r="AD11" s="26"/>
    </row>
    <row r="12" spans="1:30" x14ac:dyDescent="0.2">
      <c r="A12" s="49">
        <v>30917.103574999997</v>
      </c>
      <c r="B12" s="48">
        <v>1.0425505999999999E-2</v>
      </c>
      <c r="C12" s="48">
        <v>3.1755033000000002E-2</v>
      </c>
      <c r="D12" s="48">
        <v>0</v>
      </c>
      <c r="E12" s="48">
        <v>0</v>
      </c>
      <c r="F12" s="48">
        <v>0.21998383399999999</v>
      </c>
      <c r="G12" s="48">
        <v>0.348135431</v>
      </c>
      <c r="H12" s="48">
        <v>8.4806810999999996E-2</v>
      </c>
      <c r="I12" s="48">
        <v>3.4965905999999998E-2</v>
      </c>
      <c r="J12" s="48">
        <v>0</v>
      </c>
      <c r="K12" s="10">
        <v>25000</v>
      </c>
      <c r="M12" s="1"/>
      <c r="N12" s="1"/>
      <c r="O12" s="1"/>
      <c r="P12" s="1"/>
      <c r="Q12" s="1"/>
      <c r="R12" s="1"/>
      <c r="S12" s="1"/>
      <c r="T12" s="1"/>
      <c r="U12" s="1"/>
      <c r="V12" s="26"/>
      <c r="W12" s="26"/>
      <c r="X12" s="26"/>
      <c r="Y12" s="26"/>
      <c r="Z12" s="26"/>
      <c r="AA12" s="26"/>
      <c r="AB12" s="26"/>
      <c r="AC12" s="26"/>
      <c r="AD12" s="26"/>
    </row>
    <row r="13" spans="1:30" x14ac:dyDescent="0.2">
      <c r="A13" s="49">
        <v>37100.524290000001</v>
      </c>
      <c r="B13" s="48">
        <v>4.3153329999999997E-2</v>
      </c>
      <c r="C13" s="48">
        <v>0.13862031799999999</v>
      </c>
      <c r="D13" s="48">
        <v>5.0625702000000002E-2</v>
      </c>
      <c r="E13" s="48">
        <v>1.8865206999999998E-2</v>
      </c>
      <c r="F13" s="48">
        <v>0.28175308100000002</v>
      </c>
      <c r="G13" s="48">
        <v>0.55367189400000005</v>
      </c>
      <c r="H13" s="48">
        <v>0.15614399500000001</v>
      </c>
      <c r="I13" s="48">
        <v>4.7725757000000001E-2</v>
      </c>
      <c r="J13" s="48">
        <v>5.5794269999999997E-3</v>
      </c>
      <c r="K13" s="10">
        <v>30000</v>
      </c>
      <c r="M13" s="1"/>
      <c r="N13" s="1"/>
      <c r="O13" s="1"/>
      <c r="P13" s="1"/>
      <c r="Q13" s="1"/>
      <c r="R13" s="1"/>
      <c r="S13" s="1"/>
      <c r="T13" s="1"/>
      <c r="U13" s="1"/>
      <c r="V13" s="26"/>
      <c r="W13" s="26"/>
      <c r="X13" s="26"/>
      <c r="Y13" s="26"/>
      <c r="Z13" s="26"/>
      <c r="AA13" s="26"/>
      <c r="AB13" s="26"/>
      <c r="AC13" s="26"/>
      <c r="AD13" s="26"/>
    </row>
    <row r="14" spans="1:30" x14ac:dyDescent="0.2">
      <c r="A14" s="49">
        <v>37100.524290000001</v>
      </c>
      <c r="B14" s="48">
        <v>2.1847766000000001E-2</v>
      </c>
      <c r="C14" s="48">
        <v>2.7623637999999999E-2</v>
      </c>
      <c r="D14" s="48">
        <v>0</v>
      </c>
      <c r="E14" s="48">
        <v>0</v>
      </c>
      <c r="F14" s="48">
        <v>0.32</v>
      </c>
      <c r="G14" s="48">
        <v>0.46757304399999999</v>
      </c>
      <c r="H14" s="48">
        <v>0.117632613</v>
      </c>
      <c r="I14" s="48">
        <v>5.3772146E-2</v>
      </c>
      <c r="J14" s="48">
        <v>0</v>
      </c>
      <c r="K14" s="10">
        <v>30000</v>
      </c>
      <c r="M14" s="1"/>
      <c r="N14" s="1"/>
      <c r="O14" s="1"/>
      <c r="P14" s="1"/>
      <c r="Q14" s="1"/>
      <c r="R14" s="1"/>
      <c r="S14" s="1"/>
      <c r="T14" s="1"/>
      <c r="U14" s="1"/>
      <c r="V14" s="26"/>
      <c r="W14" s="26"/>
      <c r="X14" s="26"/>
      <c r="Y14" s="26"/>
      <c r="Z14" s="26"/>
      <c r="AA14" s="26"/>
      <c r="AB14" s="26"/>
      <c r="AC14" s="26"/>
      <c r="AD14" s="26"/>
    </row>
    <row r="15" spans="1:30" x14ac:dyDescent="0.2">
      <c r="A15" s="49">
        <v>43283.945005000001</v>
      </c>
      <c r="B15" s="48">
        <v>5.8336909999999999E-2</v>
      </c>
      <c r="C15" s="48">
        <v>0.124131674</v>
      </c>
      <c r="D15" s="48">
        <v>4.5594772999999998E-2</v>
      </c>
      <c r="E15" s="48">
        <v>1.7396313E-2</v>
      </c>
      <c r="F15" s="48">
        <v>0.36542994699999998</v>
      </c>
      <c r="G15" s="48">
        <v>0.67912749299999997</v>
      </c>
      <c r="H15" s="48">
        <v>0.21704488699999999</v>
      </c>
      <c r="I15" s="48">
        <v>7.1913648999999996E-2</v>
      </c>
      <c r="J15" s="48">
        <v>6.284871E-3</v>
      </c>
      <c r="K15" s="10">
        <v>35000</v>
      </c>
      <c r="M15" s="1"/>
      <c r="N15" s="1"/>
      <c r="O15" s="1"/>
      <c r="P15" s="1"/>
      <c r="Q15" s="1"/>
      <c r="R15" s="1"/>
      <c r="S15" s="1"/>
      <c r="T15" s="1"/>
      <c r="U15" s="1"/>
      <c r="V15" s="26"/>
      <c r="W15" s="26"/>
      <c r="X15" s="26"/>
      <c r="Y15" s="26"/>
      <c r="Z15" s="26"/>
      <c r="AA15" s="26"/>
      <c r="AB15" s="26"/>
      <c r="AC15" s="26"/>
      <c r="AD15" s="26"/>
    </row>
    <row r="16" spans="1:30" x14ac:dyDescent="0.2">
      <c r="A16" s="49">
        <v>43283.945005000001</v>
      </c>
      <c r="B16" s="48">
        <v>6.0155439999999998E-2</v>
      </c>
      <c r="C16" s="48">
        <v>6.2456965000000003E-2</v>
      </c>
      <c r="D16" s="48">
        <v>4.2731640000000003E-3</v>
      </c>
      <c r="E16" s="48">
        <v>2.461286E-2</v>
      </c>
      <c r="F16" s="48">
        <v>0.35759497600000001</v>
      </c>
      <c r="G16" s="48">
        <v>0.56145886499999997</v>
      </c>
      <c r="H16" s="48">
        <v>0.23976751800000001</v>
      </c>
      <c r="I16" s="48">
        <v>6.8997726999999995E-2</v>
      </c>
      <c r="J16" s="48">
        <v>0</v>
      </c>
      <c r="K16" s="10">
        <v>35000</v>
      </c>
      <c r="M16" s="1"/>
      <c r="N16" s="1"/>
      <c r="O16" s="1"/>
      <c r="P16" s="1"/>
      <c r="Q16" s="1"/>
      <c r="R16" s="1"/>
      <c r="S16" s="1"/>
      <c r="T16" s="1"/>
      <c r="U16" s="1"/>
      <c r="V16" s="26"/>
      <c r="W16" s="26"/>
      <c r="X16" s="26"/>
      <c r="Y16" s="26"/>
      <c r="Z16" s="26"/>
      <c r="AA16" s="26"/>
      <c r="AB16" s="26"/>
      <c r="AC16" s="26"/>
      <c r="AD16" s="26"/>
    </row>
    <row r="17" spans="1:30" x14ac:dyDescent="0.2">
      <c r="A17" s="49">
        <v>49467.365720000002</v>
      </c>
      <c r="B17" s="48">
        <v>7.8196913000000007E-2</v>
      </c>
      <c r="C17" s="48">
        <v>0.12495392600000001</v>
      </c>
      <c r="D17" s="48">
        <v>5.6257810999999998E-2</v>
      </c>
      <c r="E17" s="48">
        <v>8.8709679999999999E-3</v>
      </c>
      <c r="F17" s="48">
        <v>0.445799958</v>
      </c>
      <c r="G17" s="48">
        <v>0.82263882899999996</v>
      </c>
      <c r="H17" s="48">
        <v>0.29188251100000001</v>
      </c>
      <c r="I17" s="48">
        <v>0.116868232</v>
      </c>
      <c r="J17" s="48">
        <v>8.7218620000000004E-3</v>
      </c>
      <c r="K17" s="10">
        <v>40000</v>
      </c>
      <c r="M17" s="1"/>
      <c r="N17" s="1"/>
      <c r="O17" s="1"/>
      <c r="P17" s="1"/>
      <c r="Q17" s="1"/>
      <c r="R17" s="1"/>
      <c r="S17" s="1"/>
      <c r="T17" s="1"/>
      <c r="U17" s="1"/>
      <c r="V17" s="26"/>
      <c r="W17" s="26"/>
      <c r="X17" s="26"/>
      <c r="Y17" s="26"/>
      <c r="Z17" s="26"/>
      <c r="AA17" s="26"/>
      <c r="AB17" s="26"/>
      <c r="AC17" s="26"/>
      <c r="AD17" s="26"/>
    </row>
    <row r="18" spans="1:30" x14ac:dyDescent="0.2">
      <c r="A18" s="49">
        <v>49467.365720000002</v>
      </c>
      <c r="B18" s="48">
        <v>6.6270658999999996E-2</v>
      </c>
      <c r="C18" s="48">
        <v>2.4275318000000001E-2</v>
      </c>
      <c r="D18" s="48">
        <v>0</v>
      </c>
      <c r="E18" s="48">
        <v>6.8564400000000001E-3</v>
      </c>
      <c r="F18" s="48">
        <v>0.39935335399999999</v>
      </c>
      <c r="G18" s="48">
        <v>0.70663387600000005</v>
      </c>
      <c r="H18" s="48">
        <v>0.28597740700000002</v>
      </c>
      <c r="I18" s="48">
        <v>0.123921911</v>
      </c>
      <c r="J18" s="48">
        <v>0</v>
      </c>
      <c r="K18" s="10">
        <v>40000</v>
      </c>
      <c r="M18" s="1"/>
      <c r="N18" s="1"/>
      <c r="O18" s="1"/>
      <c r="P18" s="1"/>
      <c r="Q18" s="1"/>
      <c r="R18" s="1"/>
      <c r="S18" s="1"/>
      <c r="T18" s="1"/>
      <c r="U18" s="1"/>
      <c r="V18" s="26"/>
      <c r="W18" s="26"/>
      <c r="X18" s="26"/>
      <c r="Y18" s="26"/>
      <c r="Z18" s="26"/>
      <c r="AA18" s="26"/>
      <c r="AB18" s="26"/>
      <c r="AC18" s="26"/>
      <c r="AD18" s="26"/>
    </row>
    <row r="19" spans="1:30" x14ac:dyDescent="0.2">
      <c r="A19" s="49">
        <v>61834.207149999995</v>
      </c>
      <c r="B19" s="48">
        <v>0.141447028</v>
      </c>
      <c r="C19" s="48">
        <v>0.106977799</v>
      </c>
      <c r="D19" s="48">
        <v>4.2240819999999998E-2</v>
      </c>
      <c r="E19" s="48">
        <v>1.0800690999999999E-2</v>
      </c>
      <c r="F19" s="48">
        <v>0.61342181399999995</v>
      </c>
      <c r="G19" s="48">
        <v>1.0166165119999999</v>
      </c>
      <c r="H19" s="48">
        <v>0.42746325200000002</v>
      </c>
      <c r="I19" s="48">
        <v>0.19736909599999999</v>
      </c>
      <c r="J19" s="48">
        <v>1.1575706999999999E-2</v>
      </c>
      <c r="K19" s="10">
        <v>50000</v>
      </c>
      <c r="M19" s="1"/>
      <c r="N19" s="1"/>
      <c r="O19" s="1"/>
      <c r="P19" s="1"/>
      <c r="Q19" s="1"/>
      <c r="R19" s="1"/>
      <c r="S19" s="1"/>
      <c r="T19" s="1"/>
      <c r="U19" s="1"/>
      <c r="V19" s="26"/>
      <c r="W19" s="26"/>
      <c r="X19" s="26"/>
      <c r="Y19" s="26"/>
      <c r="Z19" s="26"/>
      <c r="AA19" s="26"/>
      <c r="AB19" s="26"/>
      <c r="AC19" s="26"/>
      <c r="AD19" s="26"/>
    </row>
    <row r="20" spans="1:30" x14ac:dyDescent="0.2">
      <c r="A20" s="49">
        <v>61834.207149999995</v>
      </c>
      <c r="B20" s="48">
        <v>0.12901227100000001</v>
      </c>
      <c r="C20" s="48">
        <v>5.1034874000000001E-2</v>
      </c>
      <c r="D20" s="48">
        <v>5.83911E-4</v>
      </c>
      <c r="E20" s="48">
        <v>2.6663932000000001E-2</v>
      </c>
      <c r="F20" s="48">
        <v>0.52793632999999995</v>
      </c>
      <c r="G20" s="48">
        <v>0.92855706599999999</v>
      </c>
      <c r="H20" s="48">
        <v>0.36935167000000002</v>
      </c>
      <c r="I20" s="48">
        <v>0.196811657</v>
      </c>
      <c r="J20" s="48">
        <v>0</v>
      </c>
      <c r="K20" s="10">
        <v>50000</v>
      </c>
      <c r="M20" s="1"/>
      <c r="N20" s="1"/>
      <c r="O20" s="1"/>
      <c r="P20" s="1"/>
      <c r="Q20" s="1"/>
      <c r="R20" s="1"/>
      <c r="S20" s="1"/>
      <c r="T20" s="1"/>
      <c r="U20" s="1"/>
      <c r="V20" s="26"/>
      <c r="W20" s="26"/>
      <c r="X20" s="26"/>
      <c r="Y20" s="26"/>
      <c r="Z20" s="26"/>
      <c r="AA20" s="26"/>
      <c r="AB20" s="26"/>
      <c r="AC20" s="26"/>
      <c r="AD20" s="26"/>
    </row>
    <row r="21" spans="1:30" x14ac:dyDescent="0.2">
      <c r="A21" s="49">
        <v>74201.048580000002</v>
      </c>
      <c r="B21" s="48">
        <v>0.22088704100000001</v>
      </c>
      <c r="C21" s="48">
        <v>0.132240778</v>
      </c>
      <c r="D21" s="48">
        <v>4.967647E-2</v>
      </c>
      <c r="E21" s="48">
        <v>4.0120968E-2</v>
      </c>
      <c r="F21" s="48">
        <v>0.81773189899999998</v>
      </c>
      <c r="G21" s="48">
        <v>1.2111549319999999</v>
      </c>
      <c r="H21" s="48">
        <v>0.601225381</v>
      </c>
      <c r="I21" s="48">
        <v>0.30510272199999999</v>
      </c>
      <c r="J21" s="48">
        <v>1.5904573000000002E-2</v>
      </c>
      <c r="K21" s="10">
        <v>60000</v>
      </c>
      <c r="M21" s="1"/>
      <c r="N21" s="1"/>
      <c r="O21" s="1"/>
      <c r="P21" s="1"/>
      <c r="Q21" s="1"/>
      <c r="R21" s="1"/>
      <c r="S21" s="1"/>
      <c r="T21" s="1"/>
      <c r="U21" s="1"/>
      <c r="V21" s="26"/>
      <c r="W21" s="26"/>
      <c r="X21" s="26"/>
      <c r="Y21" s="26"/>
      <c r="Z21" s="26"/>
      <c r="AA21" s="26"/>
      <c r="AB21" s="26"/>
      <c r="AC21" s="26"/>
      <c r="AD21" s="26"/>
    </row>
    <row r="22" spans="1:30" x14ac:dyDescent="0.2">
      <c r="A22" s="49">
        <v>74201.048580000002</v>
      </c>
      <c r="B22" s="48">
        <v>0.20091324199999999</v>
      </c>
      <c r="C22" s="48">
        <v>0.14675901499999999</v>
      </c>
      <c r="D22" s="48">
        <v>1.2554078E-2</v>
      </c>
      <c r="E22" s="48">
        <v>0.116207861</v>
      </c>
      <c r="F22" s="48">
        <v>0.70780327099999996</v>
      </c>
      <c r="G22" s="48">
        <v>1.0298980710000001</v>
      </c>
      <c r="H22" s="48">
        <v>0.50474787200000004</v>
      </c>
      <c r="I22" s="48">
        <v>0.25721580500000002</v>
      </c>
      <c r="J22" s="48">
        <v>2.569001E-3</v>
      </c>
      <c r="K22" s="10">
        <v>60000</v>
      </c>
      <c r="M22" s="1"/>
      <c r="N22" s="1"/>
      <c r="O22" s="1"/>
      <c r="P22" s="1"/>
      <c r="Q22" s="1"/>
      <c r="R22" s="1"/>
      <c r="S22" s="1"/>
      <c r="T22" s="1"/>
      <c r="U22" s="1"/>
      <c r="V22" s="26"/>
      <c r="W22" s="26"/>
      <c r="X22" s="26"/>
      <c r="Y22" s="26"/>
      <c r="Z22" s="26"/>
      <c r="AA22" s="26"/>
      <c r="AB22" s="26"/>
      <c r="AC22" s="26"/>
      <c r="AD22" s="26"/>
    </row>
    <row r="23" spans="1:30" x14ac:dyDescent="0.2">
      <c r="A23" s="49">
        <v>86567.890010000003</v>
      </c>
      <c r="B23" s="48">
        <v>0.31024225700000002</v>
      </c>
      <c r="C23" s="48">
        <v>0.14522668599999999</v>
      </c>
      <c r="D23" s="48">
        <v>5.0815548000000002E-2</v>
      </c>
      <c r="E23" s="48">
        <v>4.2828340999999999E-2</v>
      </c>
      <c r="F23" s="48">
        <v>0.97547787399999997</v>
      </c>
      <c r="G23" s="48">
        <v>1.23541616</v>
      </c>
      <c r="H23" s="48">
        <v>0.72644560700000005</v>
      </c>
      <c r="I23" s="48">
        <v>0.37373201700000003</v>
      </c>
      <c r="J23" s="48">
        <v>2.1516065000000001E-2</v>
      </c>
      <c r="K23" s="10">
        <v>70000</v>
      </c>
      <c r="M23" s="1"/>
      <c r="N23" s="1"/>
      <c r="O23" s="1"/>
      <c r="P23" s="1"/>
      <c r="Q23" s="1"/>
      <c r="R23" s="1"/>
      <c r="S23" s="1"/>
      <c r="T23" s="1"/>
      <c r="U23" s="1"/>
      <c r="V23" s="26"/>
      <c r="W23" s="26"/>
      <c r="X23" s="26"/>
      <c r="Y23" s="26"/>
      <c r="Z23" s="26"/>
      <c r="AA23" s="26"/>
      <c r="AB23" s="26"/>
      <c r="AC23" s="26"/>
      <c r="AD23" s="26"/>
    </row>
    <row r="24" spans="1:30" x14ac:dyDescent="0.2">
      <c r="A24" s="49">
        <v>86567.890010000003</v>
      </c>
      <c r="B24" s="48">
        <v>0.27564283899999997</v>
      </c>
      <c r="C24" s="48">
        <v>6.6129314999999994E-2</v>
      </c>
      <c r="D24" s="48">
        <v>8.8913659999999995E-3</v>
      </c>
      <c r="E24" s="48">
        <v>5.9861992000000003E-2</v>
      </c>
      <c r="F24" s="48">
        <v>0.78047627900000005</v>
      </c>
      <c r="G24" s="48">
        <v>1.082857717</v>
      </c>
      <c r="H24" s="48">
        <v>0.61079731500000001</v>
      </c>
      <c r="I24" s="48">
        <v>0.35691378400000001</v>
      </c>
      <c r="J24" s="48">
        <v>9.2220540000000004E-3</v>
      </c>
      <c r="K24" s="10">
        <v>70000</v>
      </c>
      <c r="M24" s="1"/>
      <c r="N24" s="1"/>
      <c r="O24" s="1"/>
      <c r="P24" s="1"/>
      <c r="Q24" s="1"/>
      <c r="R24" s="1"/>
      <c r="S24" s="1"/>
      <c r="T24" s="1"/>
      <c r="U24" s="1"/>
      <c r="V24" s="26"/>
      <c r="W24" s="26"/>
      <c r="X24" s="26"/>
      <c r="Y24" s="26"/>
      <c r="Z24" s="26"/>
      <c r="AA24" s="26"/>
      <c r="AB24" s="26"/>
      <c r="AC24" s="26"/>
      <c r="AD24" s="26"/>
    </row>
    <row r="25" spans="1:30" x14ac:dyDescent="0.2">
      <c r="A25" s="49">
        <v>98934.731440000003</v>
      </c>
      <c r="B25" s="48">
        <v>0.407233658</v>
      </c>
      <c r="C25" s="48">
        <v>0.204400465</v>
      </c>
      <c r="D25" s="48">
        <v>6.7142336999999996E-2</v>
      </c>
      <c r="E25" s="48">
        <v>0.118951613</v>
      </c>
      <c r="F25" s="48">
        <v>1.1105674160000001</v>
      </c>
      <c r="G25" s="48">
        <v>1.1853236389999999</v>
      </c>
      <c r="H25" s="48">
        <v>0.87580530599999995</v>
      </c>
      <c r="I25" s="48">
        <v>0.52443592900000002</v>
      </c>
      <c r="J25" s="48">
        <v>2.5524274E-2</v>
      </c>
      <c r="K25" s="10">
        <v>80000</v>
      </c>
      <c r="M25" s="1"/>
      <c r="N25" s="1"/>
      <c r="O25" s="1"/>
      <c r="P25" s="1"/>
      <c r="Q25" s="1"/>
      <c r="R25" s="1"/>
      <c r="S25" s="1"/>
      <c r="T25" s="1"/>
      <c r="U25" s="1"/>
      <c r="V25" s="26"/>
      <c r="W25" s="26"/>
      <c r="X25" s="26"/>
      <c r="Y25" s="26"/>
      <c r="Z25" s="26"/>
      <c r="AA25" s="26"/>
      <c r="AB25" s="26"/>
      <c r="AC25" s="26"/>
      <c r="AD25" s="26"/>
    </row>
    <row r="26" spans="1:30" x14ac:dyDescent="0.2">
      <c r="A26" s="49">
        <v>98934.731440000003</v>
      </c>
      <c r="B26" s="48">
        <v>0.34590051300000002</v>
      </c>
      <c r="C26" s="48">
        <v>8.8082411999999999E-2</v>
      </c>
      <c r="D26" s="48">
        <v>1.4411975E-2</v>
      </c>
      <c r="E26" s="48">
        <v>0.103110304</v>
      </c>
      <c r="F26" s="48">
        <v>0.955418765</v>
      </c>
      <c r="G26" s="48">
        <v>1.085363402</v>
      </c>
      <c r="H26" s="48">
        <v>0.74435167000000002</v>
      </c>
      <c r="I26" s="48">
        <v>0.43571940100000001</v>
      </c>
      <c r="J26" s="48">
        <v>2.3911468000000002E-2</v>
      </c>
      <c r="K26" s="10">
        <v>80000</v>
      </c>
      <c r="M26" s="1"/>
      <c r="N26" s="1"/>
      <c r="O26" s="1"/>
      <c r="P26" s="1"/>
      <c r="Q26" s="1"/>
      <c r="R26" s="1"/>
      <c r="S26" s="1"/>
      <c r="T26" s="1"/>
      <c r="U26" s="1"/>
      <c r="V26" s="26"/>
      <c r="W26" s="26"/>
      <c r="X26" s="26"/>
      <c r="Y26" s="26"/>
      <c r="Z26" s="26"/>
      <c r="AA26" s="26"/>
      <c r="AB26" s="26"/>
      <c r="AC26" s="26"/>
      <c r="AD26" s="26"/>
    </row>
    <row r="27" spans="1:30" x14ac:dyDescent="0.2">
      <c r="A27" s="49">
        <v>111301.57286999999</v>
      </c>
      <c r="B27" s="48">
        <v>0.46545217799999999</v>
      </c>
      <c r="C27" s="48">
        <v>0.18954322500000001</v>
      </c>
      <c r="D27" s="48">
        <v>6.2965717000000004E-2</v>
      </c>
      <c r="E27" s="48">
        <v>0.10961981599999999</v>
      </c>
      <c r="F27" s="48">
        <v>1.1262302959999999</v>
      </c>
      <c r="G27" s="48">
        <v>1.116539878</v>
      </c>
      <c r="H27" s="48">
        <v>0.95790054999999996</v>
      </c>
      <c r="I27" s="48">
        <v>0.56572982800000005</v>
      </c>
      <c r="J27" s="48">
        <v>3.6266273000000002E-2</v>
      </c>
      <c r="K27" s="10">
        <v>90000</v>
      </c>
      <c r="M27" s="1"/>
      <c r="N27" s="1"/>
      <c r="O27" s="1"/>
      <c r="P27" s="1"/>
      <c r="Q27" s="1"/>
      <c r="R27" s="1"/>
      <c r="S27" s="1"/>
      <c r="T27" s="1"/>
      <c r="U27" s="1"/>
      <c r="V27" s="26"/>
      <c r="W27" s="26"/>
      <c r="X27" s="26"/>
      <c r="Y27" s="26"/>
      <c r="Z27" s="26"/>
      <c r="AA27" s="26"/>
      <c r="AB27" s="26"/>
      <c r="AC27" s="26"/>
      <c r="AD27" s="26"/>
    </row>
    <row r="28" spans="1:30" x14ac:dyDescent="0.2">
      <c r="A28" s="49">
        <v>111301.57286999999</v>
      </c>
      <c r="B28" s="48">
        <v>0.43894882899999998</v>
      </c>
      <c r="C28" s="48">
        <v>0.12418485999999999</v>
      </c>
      <c r="D28" s="48">
        <v>2.3197176E-2</v>
      </c>
      <c r="E28" s="48">
        <v>0.14442474799999999</v>
      </c>
      <c r="F28" s="48">
        <v>1.066368215</v>
      </c>
      <c r="G28" s="48">
        <v>1.089539542</v>
      </c>
      <c r="H28" s="48">
        <v>1.034913229</v>
      </c>
      <c r="I28" s="48">
        <v>0.75965999299999998</v>
      </c>
      <c r="J28" s="48">
        <v>0.20845135400000001</v>
      </c>
      <c r="K28" s="10">
        <v>90000</v>
      </c>
      <c r="M28" s="1"/>
      <c r="N28" s="1"/>
      <c r="O28" s="1"/>
      <c r="P28" s="1"/>
      <c r="Q28" s="1"/>
      <c r="R28" s="1"/>
      <c r="S28" s="1"/>
      <c r="T28" s="1"/>
      <c r="U28" s="1"/>
      <c r="V28" s="26"/>
      <c r="W28" s="26"/>
      <c r="X28" s="26"/>
      <c r="Y28" s="26"/>
      <c r="Z28" s="26"/>
      <c r="AA28" s="26"/>
      <c r="AB28" s="26"/>
      <c r="AC28" s="26"/>
      <c r="AD28" s="26"/>
    </row>
    <row r="29" spans="1:30" x14ac:dyDescent="0.2">
      <c r="A29" s="49">
        <v>123668.41429999999</v>
      </c>
      <c r="B29" s="48">
        <v>0.53595370899999994</v>
      </c>
      <c r="C29" s="48">
        <v>0.23076923099999999</v>
      </c>
      <c r="D29" s="48">
        <v>6.8977519000000001E-2</v>
      </c>
      <c r="E29" s="48">
        <v>0.19213709700000001</v>
      </c>
      <c r="F29" s="48">
        <v>1.0880003570000001</v>
      </c>
      <c r="G29" s="48">
        <v>1.0260742789999999</v>
      </c>
      <c r="H29" s="48">
        <v>1.0077046460000001</v>
      </c>
      <c r="I29" s="48">
        <v>0.65977864799999997</v>
      </c>
      <c r="J29" s="48">
        <v>5.5409478999999998E-2</v>
      </c>
      <c r="K29" s="10">
        <v>100000</v>
      </c>
      <c r="M29" s="1"/>
      <c r="N29" s="1"/>
      <c r="O29" s="1"/>
      <c r="P29" s="1"/>
      <c r="Q29" s="1"/>
      <c r="R29" s="1"/>
      <c r="S29" s="1"/>
      <c r="T29" s="1"/>
      <c r="U29" s="1"/>
      <c r="V29" s="26"/>
      <c r="W29" s="26"/>
      <c r="X29" s="26"/>
      <c r="Y29" s="26"/>
      <c r="Z29" s="26"/>
      <c r="AA29" s="26"/>
      <c r="AB29" s="26"/>
      <c r="AC29" s="26"/>
      <c r="AD29" s="26"/>
    </row>
    <row r="30" spans="1:30" x14ac:dyDescent="0.2">
      <c r="A30" s="49">
        <v>123668.41429999999</v>
      </c>
      <c r="B30" s="48">
        <v>0.49317762399999998</v>
      </c>
      <c r="C30" s="48">
        <v>0.14759609500000001</v>
      </c>
      <c r="D30" s="48">
        <v>2.6541391000000001E-2</v>
      </c>
      <c r="E30" s="48">
        <v>0.164056434</v>
      </c>
      <c r="F30" s="48">
        <v>1.0554747250000001</v>
      </c>
      <c r="G30" s="48">
        <v>1.004964967</v>
      </c>
      <c r="H30" s="48">
        <v>1.127578585</v>
      </c>
      <c r="I30" s="48">
        <v>0.57380826399999996</v>
      </c>
      <c r="J30" s="48">
        <v>2.4240827E-2</v>
      </c>
      <c r="K30" s="10">
        <v>100000</v>
      </c>
      <c r="M30" s="1"/>
      <c r="N30" s="1"/>
      <c r="O30" s="1"/>
      <c r="P30" s="1"/>
      <c r="Q30" s="1"/>
      <c r="R30" s="1"/>
      <c r="S30" s="1"/>
      <c r="T30" s="1"/>
      <c r="U30" s="1"/>
      <c r="V30" s="26"/>
      <c r="W30" s="26"/>
      <c r="X30" s="26"/>
      <c r="Y30" s="26"/>
      <c r="Z30" s="26"/>
      <c r="AA30" s="26"/>
      <c r="AB30" s="26"/>
      <c r="AC30" s="26"/>
      <c r="AD30" s="26"/>
    </row>
    <row r="31" spans="1:30" x14ac:dyDescent="0.2">
      <c r="A31" s="49">
        <v>136035.25573</v>
      </c>
      <c r="B31" s="48">
        <v>0.61506814899999995</v>
      </c>
      <c r="C31" s="48">
        <v>0.24914230600000001</v>
      </c>
      <c r="D31" s="48">
        <v>7.1635368000000005E-2</v>
      </c>
      <c r="E31" s="48">
        <v>0.174625576</v>
      </c>
      <c r="F31" s="48">
        <v>1.117337534</v>
      </c>
      <c r="G31" s="48">
        <v>1.007420422</v>
      </c>
      <c r="H31" s="48">
        <v>1.0669226119999999</v>
      </c>
      <c r="I31" s="48">
        <v>0.68129800399999996</v>
      </c>
      <c r="J31" s="48">
        <v>5.4287179999999997E-2</v>
      </c>
      <c r="K31" s="10">
        <v>110000</v>
      </c>
      <c r="M31" s="1"/>
      <c r="N31" s="1"/>
      <c r="O31" s="1"/>
      <c r="P31" s="1"/>
      <c r="Q31" s="1"/>
      <c r="R31" s="1"/>
      <c r="S31" s="1"/>
      <c r="T31" s="1"/>
      <c r="U31" s="1"/>
      <c r="V31" s="26"/>
      <c r="W31" s="26"/>
      <c r="X31" s="26"/>
      <c r="Y31" s="26"/>
      <c r="Z31" s="26"/>
      <c r="AA31" s="26"/>
      <c r="AB31" s="26"/>
      <c r="AC31" s="26"/>
      <c r="AD31" s="26"/>
    </row>
    <row r="32" spans="1:30" x14ac:dyDescent="0.2">
      <c r="A32" s="49">
        <v>136035.25573</v>
      </c>
      <c r="B32" s="48">
        <v>0.57590819100000001</v>
      </c>
      <c r="C32" s="48">
        <v>0.202114302</v>
      </c>
      <c r="D32" s="48">
        <v>4.5890066E-2</v>
      </c>
      <c r="E32" s="48">
        <v>0.22359611500000001</v>
      </c>
      <c r="F32" s="48">
        <v>1.054106821</v>
      </c>
      <c r="G32" s="48">
        <v>1.0113683819999999</v>
      </c>
      <c r="H32" s="48">
        <v>1.1856172229999999</v>
      </c>
      <c r="I32" s="48">
        <v>0.74007535000000002</v>
      </c>
      <c r="J32" s="48">
        <v>6.6497596000000006E-2</v>
      </c>
      <c r="K32" s="10">
        <v>110000</v>
      </c>
      <c r="M32" s="1"/>
      <c r="N32" s="1"/>
      <c r="O32" s="1"/>
      <c r="P32" s="1"/>
      <c r="Q32" s="1"/>
      <c r="R32" s="1"/>
      <c r="S32" s="1"/>
      <c r="T32" s="1"/>
      <c r="U32" s="1"/>
      <c r="V32" s="26"/>
      <c r="W32" s="26"/>
      <c r="X32" s="26"/>
      <c r="Y32" s="26"/>
      <c r="Z32" s="26"/>
      <c r="AA32" s="26"/>
      <c r="AB32" s="26"/>
      <c r="AC32" s="26"/>
      <c r="AD32" s="26"/>
    </row>
    <row r="33" spans="1:30" x14ac:dyDescent="0.2">
      <c r="A33" s="49">
        <v>148402.09716</v>
      </c>
      <c r="B33" s="48">
        <v>0.73298506799999996</v>
      </c>
      <c r="C33" s="48">
        <v>0.30360940199999997</v>
      </c>
      <c r="D33" s="48">
        <v>8.8563337000000006E-2</v>
      </c>
      <c r="E33" s="48">
        <v>0.26641705100000002</v>
      </c>
      <c r="F33" s="48">
        <v>1.13532415</v>
      </c>
      <c r="G33" s="48">
        <v>1.06786789</v>
      </c>
      <c r="H33" s="48">
        <v>1.174945436</v>
      </c>
      <c r="I33" s="48">
        <v>0.81154313300000003</v>
      </c>
      <c r="J33" s="48">
        <v>5.4223049000000002E-2</v>
      </c>
      <c r="K33" s="10">
        <v>120000</v>
      </c>
      <c r="M33" s="1"/>
      <c r="N33" s="1"/>
      <c r="O33" s="1"/>
      <c r="P33" s="1"/>
      <c r="Q33" s="1"/>
      <c r="R33" s="1"/>
      <c r="S33" s="1"/>
      <c r="T33" s="1"/>
      <c r="U33" s="1"/>
      <c r="V33" s="26"/>
      <c r="W33" s="26"/>
      <c r="X33" s="26"/>
      <c r="Y33" s="26"/>
      <c r="Z33" s="26"/>
      <c r="AA33" s="26"/>
      <c r="AB33" s="26"/>
      <c r="AC33" s="26"/>
      <c r="AD33" s="26"/>
    </row>
    <row r="34" spans="1:30" x14ac:dyDescent="0.2">
      <c r="A34" s="49">
        <v>148402.09716</v>
      </c>
      <c r="B34" s="48">
        <v>0.720787705</v>
      </c>
      <c r="C34" s="48">
        <v>0.22914388299999999</v>
      </c>
      <c r="D34" s="48">
        <v>5.9744671999999999E-2</v>
      </c>
      <c r="E34" s="48">
        <v>0.26892479899999999</v>
      </c>
      <c r="F34" s="48">
        <v>1.1468755829999999</v>
      </c>
      <c r="G34" s="48">
        <v>1.0871575950000001</v>
      </c>
      <c r="H34" s="48">
        <v>1.1636787820000001</v>
      </c>
      <c r="I34" s="48">
        <v>0.83578790000000003</v>
      </c>
      <c r="J34" s="48">
        <v>9.1693564000000005E-2</v>
      </c>
      <c r="K34" s="10">
        <v>120000</v>
      </c>
      <c r="M34" s="1"/>
      <c r="N34" s="1"/>
      <c r="O34" s="1"/>
      <c r="P34" s="1"/>
      <c r="Q34" s="1"/>
      <c r="R34" s="1"/>
      <c r="S34" s="1"/>
      <c r="T34" s="1"/>
      <c r="U34" s="1"/>
      <c r="V34" s="26"/>
      <c r="W34" s="26"/>
      <c r="X34" s="26"/>
      <c r="Y34" s="26"/>
      <c r="Z34" s="26"/>
      <c r="AA34" s="26"/>
      <c r="AB34" s="26"/>
      <c r="AC34" s="26"/>
      <c r="AD34" s="26"/>
    </row>
    <row r="35" spans="1:30" x14ac:dyDescent="0.2">
      <c r="A35" s="49">
        <v>160768.93859000001</v>
      </c>
      <c r="B35" s="48">
        <v>0.84998446100000002</v>
      </c>
      <c r="C35" s="48">
        <v>0.35977770799999997</v>
      </c>
      <c r="D35" s="48">
        <v>0.10976285</v>
      </c>
      <c r="E35" s="48">
        <v>0.26967165900000001</v>
      </c>
      <c r="F35" s="48">
        <v>1.140798338</v>
      </c>
      <c r="G35" s="48">
        <v>1.0661856789999999</v>
      </c>
      <c r="H35" s="48">
        <v>1.220805175</v>
      </c>
      <c r="I35" s="48">
        <v>0.96929471899999997</v>
      </c>
      <c r="J35" s="48">
        <v>8.9014301000000004E-2</v>
      </c>
      <c r="K35" s="10">
        <v>130000</v>
      </c>
      <c r="M35" s="1"/>
      <c r="N35" s="1"/>
      <c r="O35" s="1"/>
      <c r="P35" s="1"/>
      <c r="Q35" s="1"/>
      <c r="R35" s="1"/>
      <c r="S35" s="1"/>
      <c r="T35" s="1"/>
      <c r="U35" s="1"/>
      <c r="V35" s="26"/>
      <c r="W35" s="26"/>
      <c r="X35" s="26"/>
      <c r="Y35" s="26"/>
      <c r="Z35" s="26"/>
      <c r="AA35" s="26"/>
      <c r="AB35" s="26"/>
      <c r="AC35" s="26"/>
      <c r="AD35" s="26"/>
    </row>
    <row r="36" spans="1:30" x14ac:dyDescent="0.2">
      <c r="A36" s="49">
        <v>160768.93859000001</v>
      </c>
      <c r="B36" s="48">
        <v>0.82423458699999996</v>
      </c>
      <c r="C36" s="48">
        <v>0.31749632100000003</v>
      </c>
      <c r="D36" s="48">
        <v>7.7686651999999995E-2</v>
      </c>
      <c r="E36" s="48">
        <v>0.33335775099999998</v>
      </c>
      <c r="F36" s="48">
        <v>1.168662563</v>
      </c>
      <c r="G36" s="48">
        <v>1.076206827</v>
      </c>
      <c r="H36" s="48">
        <v>1.4183038640000001</v>
      </c>
      <c r="I36" s="48">
        <v>0.94538717800000005</v>
      </c>
      <c r="J36" s="48">
        <v>0.10684408099999999</v>
      </c>
      <c r="K36" s="10">
        <v>130000</v>
      </c>
      <c r="M36" s="1"/>
      <c r="N36" s="1"/>
      <c r="O36" s="1"/>
      <c r="P36" s="1"/>
      <c r="Q36" s="1"/>
      <c r="R36" s="1"/>
      <c r="S36" s="1"/>
      <c r="T36" s="1"/>
      <c r="U36" s="1"/>
      <c r="V36" s="26"/>
      <c r="W36" s="26"/>
      <c r="X36" s="26"/>
      <c r="Y36" s="26"/>
      <c r="Z36" s="26"/>
      <c r="AA36" s="26"/>
      <c r="AB36" s="26"/>
      <c r="AC36" s="26"/>
      <c r="AD36" s="26"/>
    </row>
    <row r="37" spans="1:30" x14ac:dyDescent="0.2">
      <c r="A37" s="49">
        <v>185502.62145000001</v>
      </c>
      <c r="B37" s="48">
        <v>1.0449439869999999</v>
      </c>
      <c r="C37" s="48">
        <v>0.50086478199999995</v>
      </c>
      <c r="D37" s="48">
        <v>0.15589552100000001</v>
      </c>
      <c r="E37" s="48">
        <v>0.43378456199999998</v>
      </c>
      <c r="F37" s="48">
        <v>1.1239289029999999</v>
      </c>
      <c r="G37" s="48">
        <v>1.0663725909999999</v>
      </c>
      <c r="H37" s="48">
        <v>1.2092350569999999</v>
      </c>
      <c r="I37" s="48">
        <v>1.1618057100000001</v>
      </c>
      <c r="J37" s="48">
        <v>0.13429102800000001</v>
      </c>
      <c r="K37" s="10">
        <v>150000</v>
      </c>
      <c r="M37" s="1"/>
      <c r="N37" s="1"/>
      <c r="O37" s="1"/>
      <c r="P37" s="1"/>
      <c r="Q37" s="1"/>
      <c r="R37" s="1"/>
      <c r="S37" s="1"/>
      <c r="T37" s="1"/>
      <c r="U37" s="1"/>
      <c r="V37" s="26"/>
      <c r="W37" s="26"/>
      <c r="X37" s="26"/>
      <c r="Y37" s="26"/>
      <c r="Z37" s="26"/>
      <c r="AA37" s="26"/>
      <c r="AB37" s="26"/>
      <c r="AC37" s="26"/>
      <c r="AD37" s="26"/>
    </row>
    <row r="38" spans="1:30" x14ac:dyDescent="0.2">
      <c r="A38" s="49">
        <v>185502.62145000001</v>
      </c>
      <c r="B38" s="48">
        <v>1.0073678960000001</v>
      </c>
      <c r="C38" s="48">
        <v>0.387378995</v>
      </c>
      <c r="D38" s="48">
        <v>0.10868699699999999</v>
      </c>
      <c r="E38" s="48">
        <v>0.41000923</v>
      </c>
      <c r="F38" s="48">
        <v>1.1293415410000001</v>
      </c>
      <c r="G38" s="48">
        <v>1.046633567</v>
      </c>
      <c r="H38" s="48">
        <v>1.452685003</v>
      </c>
      <c r="I38" s="48">
        <v>1.149951739</v>
      </c>
      <c r="J38" s="48">
        <v>0.16550293099999999</v>
      </c>
      <c r="K38" s="10">
        <v>150000</v>
      </c>
      <c r="M38" s="1"/>
      <c r="N38" s="1"/>
      <c r="O38" s="1"/>
      <c r="P38" s="1"/>
      <c r="Q38" s="1"/>
      <c r="R38" s="1"/>
      <c r="S38" s="1"/>
      <c r="T38" s="1"/>
      <c r="U38" s="1"/>
      <c r="V38" s="26"/>
      <c r="W38" s="26"/>
      <c r="X38" s="26"/>
      <c r="Y38" s="26"/>
      <c r="Z38" s="26"/>
      <c r="AA38" s="26"/>
      <c r="AB38" s="26"/>
      <c r="AC38" s="26"/>
      <c r="AD38" s="26"/>
    </row>
    <row r="39" spans="1:30" x14ac:dyDescent="0.2">
      <c r="A39" s="49">
        <v>210236.30431000001</v>
      </c>
      <c r="B39" s="48">
        <v>1.1815370039999999</v>
      </c>
      <c r="C39" s="48">
        <v>0.57373330700000003</v>
      </c>
      <c r="D39" s="48">
        <v>0.16507142999999999</v>
      </c>
      <c r="E39" s="48">
        <v>0.51572580599999995</v>
      </c>
      <c r="F39" s="48">
        <v>1.107126498</v>
      </c>
      <c r="G39" s="48">
        <v>1.078035925</v>
      </c>
      <c r="H39" s="48">
        <v>1.203029267</v>
      </c>
      <c r="I39" s="48">
        <v>1.26095212</v>
      </c>
      <c r="J39" s="48">
        <v>0.17058936699999999</v>
      </c>
      <c r="K39" s="10">
        <v>170000</v>
      </c>
      <c r="M39" s="1"/>
      <c r="N39" s="1"/>
      <c r="O39" s="1"/>
      <c r="P39" s="1"/>
      <c r="Q39" s="1"/>
      <c r="R39" s="1"/>
      <c r="S39" s="1"/>
      <c r="T39" s="1"/>
      <c r="U39" s="1"/>
      <c r="V39" s="26"/>
      <c r="W39" s="26"/>
      <c r="X39" s="26"/>
      <c r="Y39" s="26"/>
      <c r="Z39" s="26"/>
      <c r="AA39" s="26"/>
      <c r="AB39" s="26"/>
      <c r="AC39" s="26"/>
      <c r="AD39" s="26"/>
    </row>
    <row r="40" spans="1:30" x14ac:dyDescent="0.2">
      <c r="A40" s="49">
        <v>210236.30431000001</v>
      </c>
      <c r="B40" s="48">
        <v>1.0631322320000001</v>
      </c>
      <c r="C40" s="48">
        <v>0.454183375</v>
      </c>
      <c r="D40" s="48">
        <v>0.13087560000000001</v>
      </c>
      <c r="E40" s="48">
        <v>0.50010987900000003</v>
      </c>
      <c r="F40" s="48">
        <v>1.056892371</v>
      </c>
      <c r="G40" s="48">
        <v>0.99701483300000004</v>
      </c>
      <c r="H40" s="48">
        <v>1.1643336609999999</v>
      </c>
      <c r="I40" s="48">
        <v>1.2664321080000001</v>
      </c>
      <c r="J40" s="48">
        <v>0.18506686</v>
      </c>
      <c r="K40" s="10">
        <v>170000</v>
      </c>
      <c r="M40" s="1"/>
      <c r="N40" s="1"/>
      <c r="O40" s="1"/>
      <c r="P40" s="1"/>
      <c r="Q40" s="1"/>
      <c r="R40" s="1"/>
      <c r="S40" s="1"/>
      <c r="T40" s="1"/>
      <c r="U40" s="1"/>
      <c r="V40" s="26"/>
      <c r="W40" s="26"/>
      <c r="X40" s="26"/>
      <c r="Y40" s="26"/>
      <c r="Z40" s="26"/>
      <c r="AA40" s="26"/>
      <c r="AB40" s="26"/>
      <c r="AC40" s="26"/>
      <c r="AD40" s="26"/>
    </row>
    <row r="41" spans="1:30" x14ac:dyDescent="0.2">
      <c r="A41" s="49">
        <v>234969.98716999998</v>
      </c>
      <c r="B41" s="48">
        <v>1.331567342</v>
      </c>
      <c r="C41" s="48">
        <v>0.71340270500000003</v>
      </c>
      <c r="D41" s="48">
        <v>0.22294293500000001</v>
      </c>
      <c r="E41" s="48">
        <v>0.67016129000000002</v>
      </c>
      <c r="F41" s="48">
        <v>1.0759124579999999</v>
      </c>
      <c r="G41" s="48">
        <v>1.048802826</v>
      </c>
      <c r="H41" s="48">
        <v>1.149280812</v>
      </c>
      <c r="I41" s="48">
        <v>1.3542140650000001</v>
      </c>
      <c r="J41" s="48">
        <v>0.22833964000000001</v>
      </c>
      <c r="K41" s="10">
        <v>190000</v>
      </c>
      <c r="M41" s="1"/>
      <c r="N41" s="1"/>
      <c r="O41" s="1"/>
      <c r="P41" s="1"/>
      <c r="Q41" s="1"/>
      <c r="R41" s="1"/>
      <c r="S41" s="1"/>
      <c r="T41" s="1"/>
      <c r="U41" s="1"/>
      <c r="V41" s="26"/>
      <c r="W41" s="26"/>
      <c r="X41" s="26"/>
      <c r="Y41" s="26"/>
      <c r="Z41" s="26"/>
      <c r="AA41" s="26"/>
      <c r="AB41" s="26"/>
      <c r="AC41" s="26"/>
      <c r="AD41" s="26"/>
    </row>
    <row r="42" spans="1:30" x14ac:dyDescent="0.2">
      <c r="A42" s="49">
        <v>234969.98716999998</v>
      </c>
      <c r="B42" s="48">
        <v>1.2008997720000001</v>
      </c>
      <c r="C42" s="48">
        <v>0.56775622100000001</v>
      </c>
      <c r="D42" s="48">
        <v>0.19616742300000001</v>
      </c>
      <c r="E42" s="48">
        <v>0.58045328699999998</v>
      </c>
      <c r="F42" s="48">
        <v>1.017645962</v>
      </c>
      <c r="G42" s="48">
        <v>0.99144664599999999</v>
      </c>
      <c r="H42" s="48">
        <v>1.106663392</v>
      </c>
      <c r="I42" s="48">
        <v>1.3018961920000001</v>
      </c>
      <c r="J42" s="48">
        <v>0.28525788800000001</v>
      </c>
      <c r="K42" s="10">
        <v>190000</v>
      </c>
      <c r="M42" s="1"/>
      <c r="N42" s="1"/>
      <c r="O42" s="1"/>
      <c r="P42" s="1"/>
      <c r="Q42" s="1"/>
      <c r="R42" s="1"/>
      <c r="S42" s="1"/>
      <c r="T42" s="1"/>
      <c r="U42" s="1"/>
      <c r="V42" s="26"/>
      <c r="W42" s="26"/>
      <c r="X42" s="26"/>
      <c r="Y42" s="26"/>
      <c r="Z42" s="26"/>
      <c r="AA42" s="26"/>
      <c r="AB42" s="26"/>
      <c r="AC42" s="26"/>
      <c r="AD42" s="26"/>
    </row>
    <row r="43" spans="1:30" x14ac:dyDescent="0.2">
      <c r="A43" s="49">
        <v>259703.67002999995</v>
      </c>
      <c r="B43" s="48">
        <v>1.369837065</v>
      </c>
      <c r="C43" s="48">
        <v>0.81283846999999998</v>
      </c>
      <c r="D43" s="48">
        <v>0.26325365099999998</v>
      </c>
      <c r="E43" s="48">
        <v>0.74133064500000001</v>
      </c>
      <c r="F43" s="48">
        <v>1.0503960409999999</v>
      </c>
      <c r="G43" s="48">
        <v>1.0410272709999999</v>
      </c>
      <c r="H43" s="48">
        <v>1.1140445450000001</v>
      </c>
      <c r="I43" s="48">
        <v>1.2942746199999999</v>
      </c>
      <c r="J43" s="48">
        <v>0.274674533</v>
      </c>
      <c r="K43" s="10">
        <v>210000</v>
      </c>
      <c r="M43" s="1"/>
      <c r="N43" s="1"/>
      <c r="O43" s="1"/>
      <c r="P43" s="1"/>
      <c r="Q43" s="1"/>
      <c r="R43" s="1"/>
      <c r="S43" s="1"/>
      <c r="T43" s="1"/>
      <c r="U43" s="1"/>
      <c r="V43" s="26"/>
      <c r="W43" s="26"/>
      <c r="X43" s="26"/>
      <c r="Y43" s="26"/>
      <c r="Z43" s="26"/>
      <c r="AA43" s="26"/>
      <c r="AB43" s="26"/>
      <c r="AC43" s="26"/>
      <c r="AD43" s="26"/>
    </row>
    <row r="44" spans="1:30" x14ac:dyDescent="0.2">
      <c r="A44" s="49">
        <v>259703.67002999995</v>
      </c>
      <c r="B44" s="48">
        <v>1.5167899140000001</v>
      </c>
      <c r="C44" s="48">
        <v>0.77783628299999996</v>
      </c>
      <c r="D44" s="48">
        <v>0.28662048499999998</v>
      </c>
      <c r="E44" s="48">
        <v>0.86303236299999997</v>
      </c>
      <c r="F44" s="48">
        <v>1.1794316979999999</v>
      </c>
      <c r="G44" s="48">
        <v>1.159605896</v>
      </c>
      <c r="H44" s="48">
        <v>1.480558284</v>
      </c>
      <c r="I44" s="48">
        <v>1.5317433140000001</v>
      </c>
      <c r="J44" s="48">
        <v>0.36229497399999999</v>
      </c>
      <c r="K44" s="10">
        <v>210000</v>
      </c>
      <c r="M44" s="1"/>
      <c r="N44" s="1"/>
      <c r="O44" s="1"/>
      <c r="P44" s="1"/>
      <c r="Q44" s="1"/>
      <c r="R44" s="1"/>
      <c r="S44" s="1"/>
      <c r="T44" s="1"/>
      <c r="U44" s="1"/>
      <c r="V44" s="26"/>
      <c r="W44" s="26"/>
      <c r="X44" s="26"/>
      <c r="Y44" s="26"/>
      <c r="Z44" s="26"/>
      <c r="AA44" s="26"/>
      <c r="AB44" s="26"/>
      <c r="AC44" s="26"/>
      <c r="AD44" s="26"/>
    </row>
    <row r="45" spans="1:30" x14ac:dyDescent="0.2">
      <c r="A45" s="49">
        <v>284437.35288999998</v>
      </c>
      <c r="B45" s="48">
        <v>1.3618753050000001</v>
      </c>
      <c r="C45" s="48">
        <v>0.96379256599999996</v>
      </c>
      <c r="D45" s="48">
        <v>0.33539527600000002</v>
      </c>
      <c r="E45" s="48">
        <v>0.89933755800000004</v>
      </c>
      <c r="F45" s="48">
        <v>1.0481169910000001</v>
      </c>
      <c r="G45" s="48">
        <v>1.030784471</v>
      </c>
      <c r="H45" s="48">
        <v>1.1039995789999999</v>
      </c>
      <c r="I45" s="48">
        <v>1.30074069</v>
      </c>
      <c r="J45" s="48">
        <v>0.33316231600000001</v>
      </c>
      <c r="K45" s="10">
        <v>230000</v>
      </c>
      <c r="M45" s="1"/>
      <c r="N45" s="1"/>
      <c r="O45" s="1"/>
      <c r="P45" s="1"/>
      <c r="Q45" s="1"/>
      <c r="R45" s="1"/>
      <c r="S45" s="1"/>
      <c r="T45" s="1"/>
      <c r="U45" s="1"/>
      <c r="V45" s="26"/>
      <c r="W45" s="26"/>
      <c r="X45" s="26"/>
      <c r="Y45" s="26"/>
      <c r="Z45" s="26"/>
      <c r="AA45" s="26"/>
      <c r="AB45" s="26"/>
      <c r="AC45" s="26"/>
      <c r="AD45" s="26"/>
    </row>
    <row r="46" spans="1:30" x14ac:dyDescent="0.2">
      <c r="A46" s="49">
        <v>284437.35288999998</v>
      </c>
      <c r="B46" s="48">
        <v>1.332228822</v>
      </c>
      <c r="C46" s="48">
        <v>0.79141857999999998</v>
      </c>
      <c r="D46" s="48">
        <v>0.31594872200000002</v>
      </c>
      <c r="E46" s="48">
        <v>0.85790468399999997</v>
      </c>
      <c r="F46" s="48">
        <v>0.97459429200000003</v>
      </c>
      <c r="G46" s="48">
        <v>1.0050887040000001</v>
      </c>
      <c r="H46" s="48">
        <v>1.110756385</v>
      </c>
      <c r="I46" s="48">
        <v>1.3982937390000001</v>
      </c>
      <c r="J46" s="48">
        <v>0.399940715</v>
      </c>
      <c r="K46" s="10">
        <v>230000</v>
      </c>
      <c r="M46" s="1"/>
      <c r="N46" s="1"/>
      <c r="O46" s="1"/>
      <c r="P46" s="1"/>
      <c r="Q46" s="1"/>
      <c r="R46" s="1"/>
      <c r="S46" s="1"/>
      <c r="T46" s="1"/>
      <c r="U46" s="1"/>
      <c r="V46" s="26"/>
      <c r="W46" s="26"/>
      <c r="X46" s="26"/>
      <c r="Y46" s="26"/>
      <c r="Z46" s="26"/>
      <c r="AA46" s="26"/>
      <c r="AB46" s="26"/>
      <c r="AC46" s="26"/>
      <c r="AD46" s="26"/>
    </row>
    <row r="47" spans="1:30" x14ac:dyDescent="0.2">
      <c r="A47" s="49">
        <v>309171.03574999998</v>
      </c>
      <c r="B47" s="48">
        <v>1.2847143089999999</v>
      </c>
      <c r="C47" s="48">
        <v>1.0500723009999999</v>
      </c>
      <c r="D47" s="48">
        <v>0.372162192</v>
      </c>
      <c r="E47" s="48">
        <v>1.017828341</v>
      </c>
      <c r="F47" s="48">
        <v>1.0331691080000001</v>
      </c>
      <c r="G47" s="48">
        <v>1.035905871</v>
      </c>
      <c r="H47" s="48">
        <v>1.078913461</v>
      </c>
      <c r="I47" s="48">
        <v>1.2157580530000001</v>
      </c>
      <c r="J47" s="48">
        <v>0.41602000900000002</v>
      </c>
      <c r="K47" s="10">
        <v>250000</v>
      </c>
      <c r="M47" s="1"/>
      <c r="N47" s="1"/>
      <c r="O47" s="1"/>
      <c r="P47" s="1"/>
      <c r="Q47" s="1"/>
      <c r="R47" s="1"/>
      <c r="S47" s="1"/>
      <c r="T47" s="1"/>
      <c r="U47" s="1"/>
      <c r="V47" s="26"/>
      <c r="W47" s="26"/>
      <c r="X47" s="26"/>
      <c r="Y47" s="26"/>
      <c r="Z47" s="26"/>
      <c r="AA47" s="26"/>
      <c r="AB47" s="26"/>
      <c r="AC47" s="26"/>
      <c r="AD47" s="26"/>
    </row>
    <row r="48" spans="1:30" x14ac:dyDescent="0.2">
      <c r="A48" s="49">
        <v>309171.03574999998</v>
      </c>
      <c r="B48" s="48">
        <v>1.3021376330000001</v>
      </c>
      <c r="C48" s="48">
        <v>0.94136390000000003</v>
      </c>
      <c r="D48" s="48">
        <v>0.39682034100000002</v>
      </c>
      <c r="E48" s="48">
        <v>1.0241879949999999</v>
      </c>
      <c r="F48" s="48">
        <v>0.95959709000000004</v>
      </c>
      <c r="G48" s="48">
        <v>0.97127743499999997</v>
      </c>
      <c r="H48" s="48">
        <v>1.2059184679999999</v>
      </c>
      <c r="I48" s="48">
        <v>1.3385745870000001</v>
      </c>
      <c r="J48" s="48">
        <v>0.50882682300000004</v>
      </c>
      <c r="K48" s="10">
        <v>250000</v>
      </c>
      <c r="M48" s="1"/>
      <c r="N48" s="1"/>
      <c r="O48" s="1"/>
      <c r="P48" s="1"/>
      <c r="Q48" s="1"/>
      <c r="R48" s="1"/>
      <c r="S48" s="1"/>
      <c r="T48" s="1"/>
      <c r="U48" s="1"/>
      <c r="V48" s="26"/>
      <c r="W48" s="26"/>
      <c r="X48" s="26"/>
      <c r="Y48" s="26"/>
      <c r="Z48" s="26"/>
      <c r="AA48" s="26"/>
      <c r="AB48" s="26"/>
      <c r="AC48" s="26"/>
      <c r="AD48" s="26"/>
    </row>
    <row r="49" spans="1:30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M49" s="1"/>
      <c r="N49" s="1"/>
      <c r="O49" s="1"/>
      <c r="P49" s="1"/>
      <c r="Q49" s="1"/>
      <c r="R49" s="1"/>
      <c r="S49" s="1"/>
      <c r="T49" s="1"/>
      <c r="U49" s="1"/>
      <c r="V49" s="26"/>
      <c r="W49" s="26"/>
      <c r="X49" s="26"/>
      <c r="Y49" s="26"/>
      <c r="Z49" s="26"/>
      <c r="AA49" s="26"/>
      <c r="AB49" s="26"/>
      <c r="AC49" s="26"/>
      <c r="AD49" s="26"/>
    </row>
    <row r="50" spans="1:30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M50" s="1"/>
      <c r="N50" s="1"/>
      <c r="O50" s="1"/>
      <c r="P50" s="1"/>
      <c r="Q50" s="1"/>
      <c r="R50" s="1"/>
      <c r="S50" s="1"/>
      <c r="T50" s="1"/>
      <c r="U50" s="1"/>
    </row>
    <row r="51" spans="1:30" x14ac:dyDescent="0.2">
      <c r="A51" s="29"/>
      <c r="B51" s="1"/>
      <c r="C51" s="1"/>
      <c r="D51" s="1"/>
      <c r="E51" s="1"/>
      <c r="F51" s="1"/>
      <c r="G51" s="1"/>
      <c r="H51" s="1"/>
      <c r="I51" s="1"/>
      <c r="J51" s="1"/>
      <c r="K51" s="1"/>
      <c r="M51" s="26"/>
    </row>
    <row r="52" spans="1:30" x14ac:dyDescent="0.2">
      <c r="M52" s="26"/>
    </row>
    <row r="53" spans="1:30" x14ac:dyDescent="0.2">
      <c r="M53" s="26"/>
    </row>
    <row r="54" spans="1:30" x14ac:dyDescent="0.2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26"/>
    </row>
    <row r="55" spans="1:30" x14ac:dyDescent="0.2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26"/>
    </row>
    <row r="56" spans="1:30" x14ac:dyDescent="0.2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26"/>
    </row>
    <row r="57" spans="1:30" x14ac:dyDescent="0.2">
      <c r="M57" s="26"/>
    </row>
    <row r="58" spans="1:30" x14ac:dyDescent="0.2">
      <c r="M58" s="2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71EF3-0D86-8348-AD5C-52F2E95518A9}">
  <dimension ref="A1:AA49"/>
  <sheetViews>
    <sheetView topLeftCell="L27" zoomScale="125" workbookViewId="0">
      <selection activeCell="I7" sqref="I7"/>
    </sheetView>
  </sheetViews>
  <sheetFormatPr baseColWidth="10" defaultRowHeight="16" x14ac:dyDescent="0.2"/>
  <cols>
    <col min="1" max="1" width="13" bestFit="1" customWidth="1"/>
    <col min="2" max="2" width="8.6640625" bestFit="1" customWidth="1"/>
    <col min="3" max="3" width="13.33203125" customWidth="1"/>
    <col min="4" max="4" width="12.1640625" bestFit="1" customWidth="1"/>
    <col min="7" max="7" width="13.1640625" bestFit="1" customWidth="1"/>
    <col min="10" max="10" width="13.83203125" bestFit="1" customWidth="1"/>
  </cols>
  <sheetData>
    <row r="1" spans="1:27" x14ac:dyDescent="0.2">
      <c r="A1" s="3" t="s">
        <v>49</v>
      </c>
      <c r="B1" s="3" t="s">
        <v>67</v>
      </c>
      <c r="C1" s="3" t="s">
        <v>64</v>
      </c>
      <c r="D1" s="3" t="s">
        <v>63</v>
      </c>
      <c r="E1" s="3" t="s">
        <v>57</v>
      </c>
      <c r="F1" s="3" t="s">
        <v>14</v>
      </c>
      <c r="J1" s="3" t="s">
        <v>50</v>
      </c>
      <c r="K1" s="3"/>
      <c r="L1" s="3" t="s">
        <v>59</v>
      </c>
    </row>
    <row r="2" spans="1:27" x14ac:dyDescent="0.2">
      <c r="A2" s="23" t="s">
        <v>17</v>
      </c>
      <c r="B2" s="24">
        <f>(((1+1.5*(1-$K$7))*C2)/$K$2)*(2+0.644*$K$3^0.5*$K$4^(1/3))</f>
        <v>7.1033855308415078E-2</v>
      </c>
      <c r="C2" s="23">
        <f>D2/100</f>
        <v>2.7044785729339622E-7</v>
      </c>
      <c r="D2" s="23">
        <f t="shared" ref="D2:D4" si="0">(0.0001326)/(($K$5)^1.14*(E2)^0.589)</f>
        <v>2.7044785729339621E-5</v>
      </c>
      <c r="E2" s="23">
        <v>18.63</v>
      </c>
      <c r="F2" s="3"/>
      <c r="J2" s="3" t="s">
        <v>51</v>
      </c>
      <c r="K2" s="21">
        <v>6.9999999999999994E-5</v>
      </c>
      <c r="L2" s="3" t="s">
        <v>65</v>
      </c>
    </row>
    <row r="3" spans="1:27" x14ac:dyDescent="0.2">
      <c r="A3" s="23" t="s">
        <v>21</v>
      </c>
      <c r="B3" s="24">
        <f>(((1+1.5*(1-$K$7))*C3)/$K$2)*(2+0.644*$K$3^0.5*$K$4^(1/3))</f>
        <v>7.916175021784172E-2</v>
      </c>
      <c r="C3" s="23">
        <f t="shared" ref="C3:C4" si="1">D3/100</f>
        <v>3.0139326709857025E-7</v>
      </c>
      <c r="D3" s="23">
        <f>(0.0001326)/(($K$5)^1.14*(E3)^0.589)</f>
        <v>3.0139326709857024E-5</v>
      </c>
      <c r="E3" s="12">
        <v>15.5</v>
      </c>
      <c r="F3" s="3"/>
      <c r="J3" s="3" t="s">
        <v>52</v>
      </c>
      <c r="K3" s="3">
        <v>0.93</v>
      </c>
      <c r="L3" s="3" t="s">
        <v>69</v>
      </c>
    </row>
    <row r="4" spans="1:27" x14ac:dyDescent="0.2">
      <c r="A4" s="23" t="s">
        <v>22</v>
      </c>
      <c r="B4" s="24">
        <f>(((1+1.5*(1-$K$7))*C4)/$K$2)*(2+0.644*$K$3^0.5*$K$4^(1/3))</f>
        <v>5.0454639132858581E-2</v>
      </c>
      <c r="C4" s="23">
        <f t="shared" si="1"/>
        <v>1.9209641634608893E-7</v>
      </c>
      <c r="D4" s="23">
        <f t="shared" si="0"/>
        <v>1.9209641634608894E-5</v>
      </c>
      <c r="E4" s="12">
        <v>33.299999999999997</v>
      </c>
      <c r="F4" s="3"/>
      <c r="J4" s="3" t="s">
        <v>53</v>
      </c>
      <c r="K4" s="3">
        <v>1785</v>
      </c>
      <c r="L4" s="3" t="s">
        <v>69</v>
      </c>
    </row>
    <row r="5" spans="1:27" x14ac:dyDescent="0.2">
      <c r="A5" s="23" t="s">
        <v>23</v>
      </c>
      <c r="B5" s="24">
        <f t="shared" ref="B5:B23" si="2">(((1+1.5*(1-$K$7))*C5)/$K$2)*(2+0.644*$K$3^0.5*$K$4^(1/3))</f>
        <v>5.1652033094747189E-2</v>
      </c>
      <c r="C5" s="23">
        <f>D5/100</f>
        <v>1.9665526550221043E-7</v>
      </c>
      <c r="D5" s="23">
        <f>(0.0001326)/(($K$5)^1.14*(E5)^0.589)</f>
        <v>1.9665526550221043E-5</v>
      </c>
      <c r="E5" s="12">
        <v>32</v>
      </c>
      <c r="F5" s="3"/>
      <c r="J5" s="3" t="s">
        <v>54</v>
      </c>
      <c r="K5" s="22">
        <v>0.89</v>
      </c>
      <c r="L5" s="3" t="s">
        <v>60</v>
      </c>
    </row>
    <row r="6" spans="1:27" x14ac:dyDescent="0.2">
      <c r="A6" s="12" t="s">
        <v>4</v>
      </c>
      <c r="B6" s="24">
        <f t="shared" si="2"/>
        <v>2.282832704392946E-2</v>
      </c>
      <c r="C6" s="23">
        <f t="shared" ref="C6:C23" si="3">D6/100</f>
        <v>8.691450165301981E-8</v>
      </c>
      <c r="D6" s="23">
        <f t="shared" ref="D6:D23" si="4">(0.0001326)/(($K$5)^1.14*(E6)^0.589)</f>
        <v>8.6914501653019809E-6</v>
      </c>
      <c r="E6" s="13">
        <v>128</v>
      </c>
      <c r="F6" s="3"/>
      <c r="J6" s="3" t="s">
        <v>55</v>
      </c>
      <c r="K6" s="10">
        <v>1.212920864E-2</v>
      </c>
      <c r="L6" s="3" t="s">
        <v>66</v>
      </c>
    </row>
    <row r="7" spans="1:27" x14ac:dyDescent="0.2">
      <c r="A7" s="12" t="s">
        <v>1</v>
      </c>
      <c r="B7" s="24">
        <f t="shared" si="2"/>
        <v>2.0394609191157882E-2</v>
      </c>
      <c r="C7" s="23">
        <f t="shared" si="3"/>
        <v>7.7648585060417457E-8</v>
      </c>
      <c r="D7" s="23">
        <f t="shared" si="4"/>
        <v>7.764858506041746E-6</v>
      </c>
      <c r="E7" s="13">
        <v>155</v>
      </c>
      <c r="F7" s="3"/>
      <c r="J7" s="3" t="s">
        <v>56</v>
      </c>
      <c r="K7" s="3">
        <v>0.38100000000000001</v>
      </c>
      <c r="L7" s="3" t="s">
        <v>62</v>
      </c>
    </row>
    <row r="8" spans="1:27" x14ac:dyDescent="0.2">
      <c r="A8" s="12" t="s">
        <v>2</v>
      </c>
      <c r="B8" s="24">
        <f t="shared" si="2"/>
        <v>1.8554049475036211E-2</v>
      </c>
      <c r="C8" s="23">
        <f t="shared" si="3"/>
        <v>7.0641004952532216E-8</v>
      </c>
      <c r="D8" s="23">
        <f t="shared" si="4"/>
        <v>7.064100495253221E-6</v>
      </c>
      <c r="E8" s="13">
        <v>182</v>
      </c>
      <c r="F8" s="3"/>
      <c r="J8" s="3" t="s">
        <v>58</v>
      </c>
      <c r="K8" s="3">
        <v>25</v>
      </c>
      <c r="L8" s="3" t="s">
        <v>61</v>
      </c>
    </row>
    <row r="9" spans="1:27" x14ac:dyDescent="0.2">
      <c r="A9" s="12" t="s">
        <v>30</v>
      </c>
      <c r="B9" s="24">
        <f t="shared" si="2"/>
        <v>1.7054288019698483E-2</v>
      </c>
      <c r="C9" s="23">
        <f t="shared" si="3"/>
        <v>6.4930949229296479E-8</v>
      </c>
      <c r="D9" s="23">
        <f t="shared" si="4"/>
        <v>6.493094922929648E-6</v>
      </c>
      <c r="E9" s="13">
        <v>210</v>
      </c>
      <c r="F9" s="3"/>
      <c r="J9" s="10" t="s">
        <v>70</v>
      </c>
      <c r="K9" s="10">
        <v>1</v>
      </c>
      <c r="L9" s="3"/>
    </row>
    <row r="10" spans="1:27" x14ac:dyDescent="0.2">
      <c r="A10" s="12" t="s">
        <v>24</v>
      </c>
      <c r="B10" s="24">
        <f t="shared" si="2"/>
        <v>1.5881590072717309E-2</v>
      </c>
      <c r="C10" s="23">
        <f t="shared" si="3"/>
        <v>6.0466125440183472E-8</v>
      </c>
      <c r="D10" s="23">
        <f t="shared" si="4"/>
        <v>6.0466125440183472E-6</v>
      </c>
      <c r="E10" s="13">
        <v>237</v>
      </c>
      <c r="F10" s="3"/>
      <c r="J10" s="10" t="s">
        <v>71</v>
      </c>
      <c r="K10" s="10">
        <v>1.5</v>
      </c>
      <c r="L10" s="3"/>
      <c r="Y10" s="6"/>
      <c r="Z10" s="6"/>
      <c r="AA10" s="7"/>
    </row>
    <row r="11" spans="1:27" x14ac:dyDescent="0.2">
      <c r="A11" s="12" t="s">
        <v>27</v>
      </c>
      <c r="B11" s="24">
        <f t="shared" si="2"/>
        <v>1.4870615280996525E-2</v>
      </c>
      <c r="C11" s="23">
        <f t="shared" si="3"/>
        <v>5.6617031722668E-8</v>
      </c>
      <c r="D11" s="23">
        <f t="shared" si="4"/>
        <v>5.6617031722667997E-6</v>
      </c>
      <c r="E11" s="13">
        <v>265</v>
      </c>
      <c r="F11" s="3"/>
      <c r="J11" s="10" t="s">
        <v>72</v>
      </c>
      <c r="K11" s="10">
        <v>0.38100000000000001</v>
      </c>
      <c r="L11" s="3"/>
      <c r="Y11" s="8"/>
      <c r="Z11" s="9"/>
      <c r="AA11" s="9"/>
    </row>
    <row r="12" spans="1:27" x14ac:dyDescent="0.2">
      <c r="A12" s="12" t="s">
        <v>41</v>
      </c>
      <c r="B12" s="24">
        <f t="shared" si="2"/>
        <v>1.4044628575987258E-2</v>
      </c>
      <c r="C12" s="23">
        <f t="shared" si="3"/>
        <v>5.3472244866419118E-8</v>
      </c>
      <c r="D12" s="23">
        <f t="shared" si="4"/>
        <v>5.3472244866419115E-6</v>
      </c>
      <c r="E12" s="13">
        <v>292</v>
      </c>
      <c r="F12" s="3"/>
      <c r="J12" s="10" t="s">
        <v>73</v>
      </c>
      <c r="K12" s="10">
        <v>1.05</v>
      </c>
      <c r="L12" s="3"/>
      <c r="Y12" s="8"/>
      <c r="Z12" s="9"/>
      <c r="AA12" s="9"/>
    </row>
    <row r="13" spans="1:27" x14ac:dyDescent="0.2">
      <c r="A13" s="12" t="s">
        <v>5</v>
      </c>
      <c r="B13" s="24">
        <f t="shared" si="2"/>
        <v>2.5510302190007245E-2</v>
      </c>
      <c r="C13" s="23">
        <f t="shared" si="3"/>
        <v>9.7125610544992798E-8</v>
      </c>
      <c r="D13" s="23">
        <f t="shared" si="4"/>
        <v>9.7125610544992797E-6</v>
      </c>
      <c r="E13" s="13">
        <v>106</v>
      </c>
      <c r="F13" s="3"/>
      <c r="J13" s="10" t="s">
        <v>74</v>
      </c>
      <c r="K13" s="10">
        <v>1.6962843299999999</v>
      </c>
      <c r="L13" s="3"/>
      <c r="Y13" s="8"/>
      <c r="Z13" s="9"/>
      <c r="AA13" s="9"/>
    </row>
    <row r="14" spans="1:27" x14ac:dyDescent="0.2">
      <c r="A14" s="12" t="s">
        <v>6</v>
      </c>
      <c r="B14" s="24">
        <f t="shared" si="2"/>
        <v>2.2220612793299517E-2</v>
      </c>
      <c r="C14" s="23">
        <f t="shared" si="3"/>
        <v>8.460074554030521E-8</v>
      </c>
      <c r="D14" s="23">
        <f t="shared" si="4"/>
        <v>8.4600745540305215E-6</v>
      </c>
      <c r="E14" s="13">
        <v>134</v>
      </c>
      <c r="F14" s="3"/>
      <c r="Y14" s="8"/>
      <c r="Z14" s="9"/>
      <c r="AA14" s="9"/>
    </row>
    <row r="15" spans="1:27" x14ac:dyDescent="0.2">
      <c r="A15" s="12" t="s">
        <v>3</v>
      </c>
      <c r="B15" s="24">
        <f t="shared" si="2"/>
        <v>1.8146160807680205E-2</v>
      </c>
      <c r="C15" s="23">
        <f t="shared" si="3"/>
        <v>6.9088046639601922E-8</v>
      </c>
      <c r="D15" s="23">
        <f t="shared" si="4"/>
        <v>6.9088046639601926E-6</v>
      </c>
      <c r="E15" s="13">
        <v>189</v>
      </c>
      <c r="F15" s="3"/>
      <c r="Y15" s="8"/>
      <c r="Z15" s="9"/>
      <c r="AA15" s="9"/>
    </row>
    <row r="16" spans="1:27" x14ac:dyDescent="0.2">
      <c r="A16" s="12" t="s">
        <v>25</v>
      </c>
      <c r="B16" s="24">
        <f t="shared" si="2"/>
        <v>1.9870848595142855E-2</v>
      </c>
      <c r="C16" s="23">
        <f t="shared" si="3"/>
        <v>7.5654466476934123E-8</v>
      </c>
      <c r="D16" s="23">
        <f t="shared" si="4"/>
        <v>7.5654466476934124E-6</v>
      </c>
      <c r="E16" s="13">
        <v>162</v>
      </c>
      <c r="F16" s="3"/>
      <c r="Y16" s="8"/>
      <c r="Z16" s="9"/>
      <c r="AA16" s="9"/>
    </row>
    <row r="17" spans="1:27" x14ac:dyDescent="0.2">
      <c r="A17" s="12" t="s">
        <v>26</v>
      </c>
      <c r="B17" s="24">
        <f t="shared" si="2"/>
        <v>1.6728075294519282E-2</v>
      </c>
      <c r="C17" s="23">
        <f t="shared" si="3"/>
        <v>6.3688956489869562E-8</v>
      </c>
      <c r="D17" s="23">
        <f t="shared" si="4"/>
        <v>6.3688956489869564E-6</v>
      </c>
      <c r="E17" s="13">
        <v>217</v>
      </c>
      <c r="F17" s="3"/>
      <c r="Y17" s="8"/>
      <c r="Z17" s="9"/>
      <c r="AA17" s="9"/>
    </row>
    <row r="18" spans="1:27" x14ac:dyDescent="0.2">
      <c r="A18" s="12" t="s">
        <v>28</v>
      </c>
      <c r="B18" s="24">
        <f t="shared" si="2"/>
        <v>1.4643998420678128E-2</v>
      </c>
      <c r="C18" s="23">
        <f t="shared" si="3"/>
        <v>5.5754231244873766E-8</v>
      </c>
      <c r="D18" s="23">
        <f t="shared" si="4"/>
        <v>5.5754231244873764E-6</v>
      </c>
      <c r="E18" s="13">
        <v>272</v>
      </c>
      <c r="F18" s="3"/>
      <c r="Y18" s="8"/>
      <c r="Z18" s="9"/>
      <c r="AA18" s="9"/>
    </row>
    <row r="19" spans="1:27" x14ac:dyDescent="0.2">
      <c r="A19" s="12" t="s">
        <v>45</v>
      </c>
      <c r="B19" s="24">
        <f t="shared" si="2"/>
        <v>1.7815186442197203E-2</v>
      </c>
      <c r="C19" s="23">
        <f t="shared" si="3"/>
        <v>6.7827924862805792E-8</v>
      </c>
      <c r="D19" s="23">
        <f t="shared" si="4"/>
        <v>6.7827924862805785E-6</v>
      </c>
      <c r="E19" s="13">
        <v>195</v>
      </c>
      <c r="F19" s="3"/>
      <c r="Y19" s="8"/>
      <c r="Z19" s="9"/>
      <c r="AA19" s="9"/>
    </row>
    <row r="20" spans="1:27" x14ac:dyDescent="0.2">
      <c r="A20" s="12" t="s">
        <v>31</v>
      </c>
      <c r="B20" s="24">
        <f t="shared" si="2"/>
        <v>1.5389839575275528E-2</v>
      </c>
      <c r="C20" s="23">
        <f t="shared" si="3"/>
        <v>5.8593879202404849E-8</v>
      </c>
      <c r="D20" s="23">
        <f t="shared" si="4"/>
        <v>5.8593879202404849E-6</v>
      </c>
      <c r="E20" s="13">
        <v>250</v>
      </c>
      <c r="F20" s="3"/>
      <c r="Y20" s="8"/>
      <c r="Z20" s="9"/>
      <c r="AA20" s="9"/>
    </row>
    <row r="21" spans="1:27" x14ac:dyDescent="0.2">
      <c r="A21" s="12" t="s">
        <v>46</v>
      </c>
      <c r="B21" s="24">
        <f t="shared" si="2"/>
        <v>1.3688887441612715E-2</v>
      </c>
      <c r="C21" s="23">
        <f t="shared" si="3"/>
        <v>5.2117828340313435E-8</v>
      </c>
      <c r="D21" s="23">
        <f t="shared" si="4"/>
        <v>5.2117828340313436E-6</v>
      </c>
      <c r="E21" s="13">
        <v>305</v>
      </c>
      <c r="F21" s="3"/>
      <c r="Y21" s="8"/>
      <c r="Z21" s="9"/>
      <c r="AA21" s="9"/>
    </row>
    <row r="22" spans="1:27" x14ac:dyDescent="0.2">
      <c r="A22" s="12" t="s">
        <v>47</v>
      </c>
      <c r="B22" s="24">
        <f t="shared" si="2"/>
        <v>1.5764359727193686E-2</v>
      </c>
      <c r="C22" s="23">
        <f t="shared" si="3"/>
        <v>6.001979325648075E-8</v>
      </c>
      <c r="D22" s="23">
        <f t="shared" si="4"/>
        <v>6.0019793256480748E-6</v>
      </c>
      <c r="E22" s="13">
        <v>240</v>
      </c>
      <c r="F22" s="3"/>
      <c r="Y22" s="8"/>
      <c r="Z22" s="9"/>
      <c r="AA22" s="9"/>
    </row>
    <row r="23" spans="1:27" x14ac:dyDescent="0.2">
      <c r="A23" s="12" t="s">
        <v>48</v>
      </c>
      <c r="B23" s="24">
        <f t="shared" si="2"/>
        <v>1.5317780409266551E-2</v>
      </c>
      <c r="C23" s="23">
        <f t="shared" si="3"/>
        <v>5.8319527670155011E-8</v>
      </c>
      <c r="D23" s="23">
        <f t="shared" si="4"/>
        <v>5.8319527670155012E-6</v>
      </c>
      <c r="E23" s="13">
        <v>252</v>
      </c>
      <c r="F23" s="3"/>
      <c r="Y23" s="8"/>
      <c r="Z23" s="9"/>
      <c r="AA23" s="9"/>
    </row>
    <row r="24" spans="1:27" x14ac:dyDescent="0.2">
      <c r="B24" s="9"/>
      <c r="Y24" s="8"/>
      <c r="Z24" s="9"/>
      <c r="AA24" s="9"/>
    </row>
    <row r="25" spans="1:27" x14ac:dyDescent="0.2">
      <c r="B25" s="9"/>
      <c r="Y25" s="8"/>
      <c r="Z25" s="9"/>
      <c r="AA25" s="9"/>
    </row>
    <row r="26" spans="1:27" x14ac:dyDescent="0.2">
      <c r="B26" s="9"/>
      <c r="Y26" s="8"/>
      <c r="Z26" s="9"/>
      <c r="AA26" s="9"/>
    </row>
    <row r="27" spans="1:27" x14ac:dyDescent="0.2">
      <c r="B27" s="9"/>
      <c r="Y27" s="8"/>
      <c r="Z27" s="9"/>
      <c r="AA27" s="9"/>
    </row>
    <row r="28" spans="1:27" x14ac:dyDescent="0.2">
      <c r="B28" s="9"/>
      <c r="Y28" s="8"/>
      <c r="Z28" s="9"/>
      <c r="AA28" s="9"/>
    </row>
    <row r="29" spans="1:27" x14ac:dyDescent="0.2">
      <c r="B29" s="9"/>
    </row>
    <row r="30" spans="1:27" x14ac:dyDescent="0.2">
      <c r="B30" s="9"/>
    </row>
    <row r="31" spans="1:27" x14ac:dyDescent="0.2">
      <c r="B31" s="9"/>
    </row>
    <row r="32" spans="1:27" x14ac:dyDescent="0.2">
      <c r="B32" s="9"/>
    </row>
    <row r="33" spans="1:25" x14ac:dyDescent="0.2">
      <c r="B33" s="9"/>
    </row>
    <row r="34" spans="1:25" x14ac:dyDescent="0.2">
      <c r="B34" s="9"/>
    </row>
    <row r="35" spans="1:25" x14ac:dyDescent="0.2">
      <c r="A35" s="44"/>
      <c r="B35" s="44"/>
      <c r="C35" s="44"/>
    </row>
    <row r="36" spans="1:25" x14ac:dyDescent="0.2">
      <c r="A36" s="44"/>
      <c r="B36" s="44"/>
      <c r="C36" s="9"/>
    </row>
    <row r="37" spans="1:25" x14ac:dyDescent="0.2">
      <c r="A37" s="44"/>
      <c r="B37" s="44"/>
      <c r="C37" s="9"/>
    </row>
    <row r="38" spans="1:25" x14ac:dyDescent="0.2">
      <c r="A38" s="44"/>
      <c r="B38" s="44"/>
      <c r="C38" s="9"/>
    </row>
    <row r="43" spans="1:25" x14ac:dyDescent="0.2">
      <c r="A43" s="16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spans="1:25" x14ac:dyDescent="0.2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8"/>
      <c r="Y44" s="16"/>
    </row>
    <row r="45" spans="1:25" x14ac:dyDescent="0.2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</row>
    <row r="46" spans="1:25" x14ac:dyDescent="0.2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spans="1:25" x14ac:dyDescent="0.2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</row>
    <row r="48" spans="1:25" x14ac:dyDescent="0.2">
      <c r="A48" s="16"/>
      <c r="B48" s="16"/>
      <c r="C48" s="16"/>
      <c r="D48" s="16"/>
      <c r="E48" s="16"/>
      <c r="F48" s="20"/>
      <c r="G48" s="20"/>
      <c r="H48" s="16"/>
      <c r="I48" s="16"/>
      <c r="J48" s="20"/>
      <c r="K48" s="16"/>
      <c r="L48" s="16"/>
      <c r="M48" s="20"/>
      <c r="N48" s="16"/>
      <c r="O48" s="16"/>
      <c r="P48" s="16"/>
      <c r="Q48" s="16"/>
      <c r="R48" s="20"/>
      <c r="S48" s="16"/>
      <c r="T48" s="16"/>
      <c r="U48" s="16"/>
      <c r="V48" s="16"/>
      <c r="W48" s="16"/>
      <c r="X48" s="16"/>
      <c r="Y48" s="16"/>
    </row>
    <row r="49" spans="1:25" x14ac:dyDescent="0.2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params</vt:lpstr>
      <vt:lpstr>ions</vt:lpstr>
      <vt:lpstr>Cin</vt:lpstr>
      <vt:lpstr>effluent</vt:lpstr>
      <vt:lpstr>PFAS_BrTh</vt:lpstr>
      <vt:lpstr>liquid_phase_film_transfer_dif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Faran</dc:creator>
  <cp:lastModifiedBy>Mohammed Faran</cp:lastModifiedBy>
  <dcterms:created xsi:type="dcterms:W3CDTF">2026-01-20T15:26:12Z</dcterms:created>
  <dcterms:modified xsi:type="dcterms:W3CDTF">2026-03-25T19:13:41Z</dcterms:modified>
</cp:coreProperties>
</file>