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Research Data/"/>
    </mc:Choice>
  </mc:AlternateContent>
  <xr:revisionPtr revIDLastSave="0" documentId="13_ncr:1_{E4F7D47C-F00C-B443-8250-3C6E08F47763}" xr6:coauthVersionLast="47" xr6:coauthVersionMax="47" xr10:uidLastSave="{00000000-0000-0000-0000-000000000000}"/>
  <bookViews>
    <workbookView xWindow="14460" yWindow="660" windowWidth="14180" windowHeight="16000" xr2:uid="{41AAEAE0-1EFE-A54C-B23C-A205F89A8CDE}"/>
  </bookViews>
  <sheets>
    <sheet name="params" sheetId="1" r:id="rId1"/>
    <sheet name="ions" sheetId="2" r:id="rId2"/>
    <sheet name="Cin" sheetId="3" r:id="rId3"/>
    <sheet name="effluent" sheetId="6" r:id="rId4"/>
    <sheet name="PFAS_BrTh" sheetId="4" r:id="rId5"/>
    <sheet name="liquid_phase_film_transfer_dif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D3" i="5"/>
  <c r="C2" i="5"/>
  <c r="B2" i="5"/>
  <c r="D2" i="5"/>
  <c r="C3" i="5" l="1"/>
  <c r="B3" i="5" s="1"/>
  <c r="D4" i="5"/>
  <c r="C4" i="5" s="1"/>
  <c r="D5" i="5"/>
  <c r="C5" i="5" s="1"/>
  <c r="B5" i="5" s="1"/>
  <c r="D7" i="5"/>
  <c r="C7" i="5" s="1"/>
  <c r="B7" i="5" s="1"/>
  <c r="D8" i="5"/>
  <c r="C8" i="5" s="1"/>
  <c r="B8" i="5" s="1"/>
  <c r="D10" i="5"/>
  <c r="C10" i="5" s="1"/>
  <c r="B10" i="5" s="1"/>
  <c r="D11" i="5"/>
  <c r="C11" i="5" s="1"/>
  <c r="B11" i="5" s="1"/>
  <c r="D12" i="5"/>
  <c r="C12" i="5" s="1"/>
  <c r="B12" i="5" s="1"/>
  <c r="E9" i="5"/>
  <c r="D9" i="5" s="1"/>
  <c r="C9" i="5" s="1"/>
  <c r="B9" i="5" s="1"/>
  <c r="E7" i="5"/>
  <c r="E6" i="5"/>
  <c r="D6" i="5" s="1"/>
  <c r="C6" i="5" s="1"/>
  <c r="B6" i="5" s="1"/>
</calcChain>
</file>

<file path=xl/sharedStrings.xml><?xml version="1.0" encoding="utf-8"?>
<sst xmlns="http://schemas.openxmlformats.org/spreadsheetml/2006/main" count="183" uniqueCount="84">
  <si>
    <t>BV-C/Co</t>
  </si>
  <si>
    <t>PFPeA</t>
  </si>
  <si>
    <t>PFHxA</t>
  </si>
  <si>
    <t>GenX</t>
  </si>
  <si>
    <t>PFBA</t>
  </si>
  <si>
    <t>PFMOAA</t>
  </si>
  <si>
    <t>PMPA</t>
  </si>
  <si>
    <t>4:2 FTS</t>
  </si>
  <si>
    <t>name</t>
  </si>
  <si>
    <t>mw</t>
  </si>
  <si>
    <t>KxA</t>
  </si>
  <si>
    <t>valence</t>
  </si>
  <si>
    <t>conc_units</t>
  </si>
  <si>
    <t>kL</t>
  </si>
  <si>
    <t>kL_units</t>
  </si>
  <si>
    <t>Ds</t>
  </si>
  <si>
    <t>Dp</t>
  </si>
  <si>
    <t>Dp_units</t>
  </si>
  <si>
    <t>CHLORIDE</t>
  </si>
  <si>
    <t>meq</t>
  </si>
  <si>
    <t>cm/s</t>
  </si>
  <si>
    <t>cm^2/s</t>
  </si>
  <si>
    <t>SULFATE</t>
  </si>
  <si>
    <t>BICARBONATE</t>
  </si>
  <si>
    <t>NITRATE</t>
  </si>
  <si>
    <t>PFOA</t>
  </si>
  <si>
    <t>PFBS</t>
  </si>
  <si>
    <t>PFHxS</t>
  </si>
  <si>
    <t>PFNA</t>
  </si>
  <si>
    <t>PFOS</t>
  </si>
  <si>
    <t>time</t>
  </si>
  <si>
    <t>PFHpA</t>
  </si>
  <si>
    <t>HFPO-DA</t>
  </si>
  <si>
    <t>6:2FTS</t>
  </si>
  <si>
    <t>Compound</t>
  </si>
  <si>
    <t>MolarMass (g/mol)</t>
  </si>
  <si>
    <t>MolarVolume (cm3/mol)</t>
  </si>
  <si>
    <t>units</t>
  </si>
  <si>
    <t>Q</t>
  </si>
  <si>
    <t>meq/L</t>
  </si>
  <si>
    <t>EBED</t>
  </si>
  <si>
    <t>EPOR</t>
  </si>
  <si>
    <t>L</t>
  </si>
  <si>
    <t>cm</t>
  </si>
  <si>
    <t>v</t>
  </si>
  <si>
    <t>rb</t>
  </si>
  <si>
    <t>PFDA</t>
  </si>
  <si>
    <t>cm2/s</t>
  </si>
  <si>
    <t>nr</t>
  </si>
  <si>
    <t>nz</t>
  </si>
  <si>
    <t>4:2FTS</t>
  </si>
  <si>
    <t>8:2FTS</t>
  </si>
  <si>
    <t>NFB1</t>
  </si>
  <si>
    <t>NFB2</t>
  </si>
  <si>
    <t>Type</t>
  </si>
  <si>
    <t>constants</t>
  </si>
  <si>
    <t>dp</t>
  </si>
  <si>
    <t>Re</t>
  </si>
  <si>
    <t>Sc</t>
  </si>
  <si>
    <t>u</t>
  </si>
  <si>
    <t>vf</t>
  </si>
  <si>
    <t>porosity €</t>
  </si>
  <si>
    <t>Vb</t>
  </si>
  <si>
    <t>temp</t>
  </si>
  <si>
    <t>unit</t>
  </si>
  <si>
    <t>cP</t>
  </si>
  <si>
    <t>C deg</t>
  </si>
  <si>
    <t xml:space="preserve">non </t>
  </si>
  <si>
    <t>DL (cm^2/s)</t>
  </si>
  <si>
    <t>DL (m2/L)</t>
  </si>
  <si>
    <t>m</t>
  </si>
  <si>
    <t>m/s</t>
  </si>
  <si>
    <t>kL (m/s)</t>
  </si>
  <si>
    <t>mg</t>
  </si>
  <si>
    <t>unitless</t>
  </si>
  <si>
    <t>n =</t>
  </si>
  <si>
    <t xml:space="preserve">shape factor = </t>
  </si>
  <si>
    <t>bed porosity</t>
  </si>
  <si>
    <t>density</t>
  </si>
  <si>
    <t>apparent density</t>
  </si>
  <si>
    <t>value</t>
  </si>
  <si>
    <t xml:space="preserve">Ds_units </t>
  </si>
  <si>
    <t xml:space="preserve">time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</si>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</sst>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Roboto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0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0" fontId="6" fillId="0" borderId="0" xfId="0" applyFont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0" fillId="0" borderId="1" xfId="0" applyNumberFormat="1" applyBorder="1"/>
    <xf numFmtId="0" fontId="2" fillId="0" borderId="1" xfId="0" applyFont="1" applyBorder="1"/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1" fontId="11" fillId="0" borderId="1" xfId="0" applyNumberFormat="1" applyFont="1" applyBorder="1" applyAlignment="1">
      <alignment horizontal="center" vertical="center"/>
    </xf>
    <xf numFmtId="11" fontId="0" fillId="0" borderId="0" xfId="0" applyNumberFormat="1"/>
    <xf numFmtId="2" fontId="11" fillId="0" borderId="1" xfId="0" applyNumberFormat="1" applyFont="1" applyBorder="1" applyAlignment="1">
      <alignment horizontal="center" vertical="center"/>
    </xf>
    <xf numFmtId="11" fontId="3" fillId="0" borderId="0" xfId="0" applyNumberFormat="1" applyFont="1"/>
    <xf numFmtId="0" fontId="12" fillId="0" borderId="1" xfId="0" applyFont="1" applyBorder="1" applyAlignment="1">
      <alignment horizontal="center"/>
    </xf>
    <xf numFmtId="2" fontId="0" fillId="0" borderId="0" xfId="0" applyNumberFormat="1"/>
    <xf numFmtId="165" fontId="3" fillId="0" borderId="0" xfId="0" applyNumberFormat="1" applyFont="1"/>
    <xf numFmtId="164" fontId="15" fillId="0" borderId="0" xfId="0" applyNumberFormat="1" applyFont="1"/>
    <xf numFmtId="0" fontId="5" fillId="0" borderId="0" xfId="0" applyFont="1"/>
    <xf numFmtId="165" fontId="5" fillId="0" borderId="0" xfId="0" applyNumberFormat="1" applyFont="1"/>
    <xf numFmtId="164" fontId="0" fillId="0" borderId="0" xfId="0" applyNumberFormat="1"/>
    <xf numFmtId="164" fontId="5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3" fillId="0" borderId="1" xfId="1" applyNumberFormat="1" applyFont="1" applyBorder="1"/>
    <xf numFmtId="0" fontId="14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2" xfId="0" applyFont="1" applyBorder="1"/>
    <xf numFmtId="2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11" fontId="17" fillId="0" borderId="0" xfId="0" applyNumberFormat="1" applyFont="1"/>
    <xf numFmtId="0" fontId="17" fillId="0" borderId="0" xfId="0" applyFont="1"/>
    <xf numFmtId="2" fontId="3" fillId="0" borderId="1" xfId="0" applyNumberFormat="1" applyFont="1" applyBorder="1"/>
    <xf numFmtId="2" fontId="5" fillId="0" borderId="1" xfId="0" applyNumberFormat="1" applyFont="1" applyBorder="1"/>
    <xf numFmtId="0" fontId="3" fillId="0" borderId="1" xfId="0" applyNumberFormat="1" applyFont="1" applyBorder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804881</xdr:colOff>
      <xdr:row>0</xdr:row>
      <xdr:rowOff>0</xdr:rowOff>
    </xdr:from>
    <xdr:to>
      <xdr:col>19</xdr:col>
      <xdr:colOff>423333</xdr:colOff>
      <xdr:row>21</xdr:row>
      <xdr:rowOff>110085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CDFC45-71C3-8210-EFB5-1437EAEB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8881" y="0"/>
          <a:ext cx="5426586" cy="4580485"/>
        </a:xfrm>
        <a:prstGeom prst="rect">
          <a:avLst/>
        </a:prstGeom>
      </xdr:spPr>
    </xdr:pic>
    <xdr:clientData/>
  </xdr:twoCellAnchor>
  <xdr:twoCellAnchor editAs="oneCell">
    <xdr:from>
      <xdr:col>12</xdr:col>
      <xdr:colOff>591214</xdr:colOff>
      <xdr:row>22</xdr:row>
      <xdr:rowOff>53879</xdr:rowOff>
    </xdr:from>
    <xdr:to>
      <xdr:col>19</xdr:col>
      <xdr:colOff>728134</xdr:colOff>
      <xdr:row>25</xdr:row>
      <xdr:rowOff>125710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C727F0-8F76-2D5D-60E0-ED392369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5214" y="4727479"/>
          <a:ext cx="5945054" cy="681431"/>
        </a:xfrm>
        <a:prstGeom prst="rect">
          <a:avLst/>
        </a:prstGeom>
      </xdr:spPr>
    </xdr:pic>
    <xdr:clientData/>
  </xdr:twoCellAnchor>
  <xdr:twoCellAnchor editAs="oneCell">
    <xdr:from>
      <xdr:col>12</xdr:col>
      <xdr:colOff>812800</xdr:colOff>
      <xdr:row>25</xdr:row>
      <xdr:rowOff>186266</xdr:rowOff>
    </xdr:from>
    <xdr:to>
      <xdr:col>19</xdr:col>
      <xdr:colOff>575732</xdr:colOff>
      <xdr:row>52</xdr:row>
      <xdr:rowOff>4177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6C31E5-0F7A-FF71-F3DE-483CCA2E1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5469466"/>
          <a:ext cx="5571066" cy="5304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577-7AEF-2948-8111-64FF5E2C5C5D}">
  <dimension ref="A1:J19"/>
  <sheetViews>
    <sheetView tabSelected="1" zoomScale="91" workbookViewId="0">
      <selection activeCell="D15" sqref="D15"/>
    </sheetView>
  </sheetViews>
  <sheetFormatPr baseColWidth="10" defaultRowHeight="16" x14ac:dyDescent="0.2"/>
  <cols>
    <col min="1" max="1" width="11.5" bestFit="1" customWidth="1"/>
    <col min="2" max="2" width="6.6640625" bestFit="1" customWidth="1"/>
    <col min="3" max="3" width="10.6640625" bestFit="1" customWidth="1"/>
    <col min="4" max="4" width="40" bestFit="1" customWidth="1"/>
  </cols>
  <sheetData>
    <row r="1" spans="1:10" x14ac:dyDescent="0.2">
      <c r="A1" s="10" t="s">
        <v>8</v>
      </c>
      <c r="B1" s="10" t="s">
        <v>80</v>
      </c>
      <c r="C1" s="47" t="s">
        <v>37</v>
      </c>
      <c r="D1" s="1"/>
      <c r="E1" s="1"/>
      <c r="F1" s="1"/>
      <c r="G1" s="1"/>
      <c r="H1" s="1"/>
      <c r="I1" s="1"/>
      <c r="J1" s="1"/>
    </row>
    <row r="2" spans="1:10" x14ac:dyDescent="0.2">
      <c r="A2" s="10" t="s">
        <v>38</v>
      </c>
      <c r="B2" s="41">
        <v>730</v>
      </c>
      <c r="C2" s="47" t="s">
        <v>39</v>
      </c>
      <c r="D2" s="1"/>
      <c r="E2" s="1"/>
    </row>
    <row r="3" spans="1:10" x14ac:dyDescent="0.2">
      <c r="A3" s="10" t="s">
        <v>40</v>
      </c>
      <c r="B3" s="42">
        <v>0.38100000000000001</v>
      </c>
      <c r="C3" s="47" t="e">
        <v>#N/A</v>
      </c>
      <c r="D3" s="1"/>
      <c r="E3" s="1"/>
    </row>
    <row r="4" spans="1:10" x14ac:dyDescent="0.2">
      <c r="A4" s="10" t="s">
        <v>41</v>
      </c>
      <c r="B4" s="41">
        <v>0.2</v>
      </c>
      <c r="C4" s="47" t="e">
        <v>#N/A</v>
      </c>
      <c r="D4" s="1"/>
      <c r="E4" s="1"/>
    </row>
    <row r="5" spans="1:10" x14ac:dyDescent="0.2">
      <c r="A5" s="10" t="s">
        <v>42</v>
      </c>
      <c r="B5" s="41">
        <v>1.5</v>
      </c>
      <c r="C5" s="47" t="s">
        <v>43</v>
      </c>
      <c r="D5" s="1"/>
      <c r="E5" s="1"/>
    </row>
    <row r="6" spans="1:10" x14ac:dyDescent="0.2">
      <c r="A6" s="10" t="s">
        <v>44</v>
      </c>
      <c r="B6" s="41">
        <v>1.212920864</v>
      </c>
      <c r="C6" s="47" t="s">
        <v>20</v>
      </c>
      <c r="D6" s="1"/>
      <c r="E6" s="1"/>
    </row>
    <row r="7" spans="1:10" x14ac:dyDescent="0.2">
      <c r="A7" s="10" t="s">
        <v>45</v>
      </c>
      <c r="B7" s="41">
        <v>7.0000000000000001E-3</v>
      </c>
      <c r="C7" s="47" t="s">
        <v>43</v>
      </c>
      <c r="D7" s="1"/>
      <c r="E7" s="1"/>
    </row>
    <row r="8" spans="1:10" x14ac:dyDescent="0.2">
      <c r="A8" s="10" t="s">
        <v>13</v>
      </c>
      <c r="B8" s="29">
        <v>1.8900000000000001E-4</v>
      </c>
      <c r="C8" s="47" t="s">
        <v>20</v>
      </c>
      <c r="D8" s="1"/>
      <c r="E8" s="1"/>
    </row>
    <row r="9" spans="1:10" x14ac:dyDescent="0.2">
      <c r="A9" s="10" t="s">
        <v>15</v>
      </c>
      <c r="B9" s="41">
        <v>2.8300000000000001E-13</v>
      </c>
      <c r="C9" s="47" t="s">
        <v>47</v>
      </c>
      <c r="D9" s="1"/>
      <c r="E9" s="1"/>
    </row>
    <row r="10" spans="1:10" x14ac:dyDescent="0.2">
      <c r="A10" s="48" t="s">
        <v>16</v>
      </c>
      <c r="B10" s="49">
        <v>0</v>
      </c>
      <c r="C10" s="50" t="s">
        <v>47</v>
      </c>
      <c r="D10" s="1"/>
      <c r="E10" s="1"/>
    </row>
    <row r="11" spans="1:10" x14ac:dyDescent="0.2">
      <c r="A11" s="10" t="s">
        <v>48</v>
      </c>
      <c r="B11" s="41">
        <v>7</v>
      </c>
      <c r="C11" s="47" t="e">
        <v>#N/A</v>
      </c>
      <c r="D11" s="1"/>
      <c r="E11" s="1"/>
    </row>
    <row r="12" spans="1:10" x14ac:dyDescent="0.2">
      <c r="A12" s="10" t="s">
        <v>49</v>
      </c>
      <c r="B12" s="41">
        <v>13</v>
      </c>
      <c r="C12" s="47" t="e">
        <v>#N/A</v>
      </c>
      <c r="D12" s="1"/>
      <c r="E12" s="1"/>
    </row>
    <row r="13" spans="1:10" x14ac:dyDescent="0.2">
      <c r="A13" s="10" t="s">
        <v>30</v>
      </c>
      <c r="B13" s="1">
        <v>309171.03580000001</v>
      </c>
      <c r="C13" s="47" t="s">
        <v>83</v>
      </c>
      <c r="E13" s="1"/>
    </row>
    <row r="14" spans="1:10" x14ac:dyDescent="0.2">
      <c r="E14" s="1"/>
      <c r="F14" s="1"/>
      <c r="G14" s="1"/>
      <c r="H14" s="1"/>
      <c r="I14" s="1"/>
    </row>
    <row r="15" spans="1:10" x14ac:dyDescent="0.2">
      <c r="D15" s="1"/>
      <c r="E15" s="1"/>
      <c r="F15" s="1"/>
      <c r="G15" s="1"/>
      <c r="H15" s="1"/>
      <c r="I15" s="1"/>
    </row>
    <row r="16" spans="1:10" x14ac:dyDescent="0.2">
      <c r="D16" s="1"/>
      <c r="E16" s="1"/>
      <c r="F16" s="1"/>
      <c r="G16" s="1"/>
      <c r="H16" s="1"/>
      <c r="I16" s="1"/>
    </row>
    <row r="17" spans="4:9" x14ac:dyDescent="0.2">
      <c r="D17" s="1"/>
      <c r="E17" s="1"/>
      <c r="F17" s="1"/>
      <c r="G17" s="1"/>
      <c r="H17" s="1"/>
      <c r="I17" s="1"/>
    </row>
    <row r="18" spans="4:9" x14ac:dyDescent="0.2">
      <c r="D18" s="1"/>
      <c r="E18" s="1"/>
      <c r="F18" s="1"/>
      <c r="G18" s="1"/>
      <c r="H18" s="1"/>
      <c r="I18" s="1"/>
    </row>
    <row r="19" spans="4:9" x14ac:dyDescent="0.2"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5E3C-2437-3A41-A129-5DBBB66F01C4}">
  <dimension ref="A1:T39"/>
  <sheetViews>
    <sheetView zoomScale="125" zoomScaleNormal="82" workbookViewId="0">
      <selection activeCell="F18" sqref="F18"/>
    </sheetView>
  </sheetViews>
  <sheetFormatPr baseColWidth="10" defaultRowHeight="16" x14ac:dyDescent="0.2"/>
  <cols>
    <col min="1" max="1" width="13" bestFit="1" customWidth="1"/>
    <col min="2" max="2" width="20.1640625" customWidth="1"/>
    <col min="3" max="3" width="15.1640625" bestFit="1" customWidth="1"/>
    <col min="4" max="4" width="20" bestFit="1" customWidth="1"/>
    <col min="6" max="6" width="12.1640625" bestFit="1" customWidth="1"/>
    <col min="7" max="7" width="8.6640625" bestFit="1" customWidth="1"/>
    <col min="9" max="9" width="8.6640625" bestFit="1" customWidth="1"/>
    <col min="14" max="14" width="21" bestFit="1" customWidth="1"/>
    <col min="15" max="15" width="6.5" bestFit="1" customWidth="1"/>
    <col min="16" max="16" width="8.5" bestFit="1" customWidth="1"/>
    <col min="18" max="18" width="10.6640625" bestFit="1" customWidth="1"/>
  </cols>
  <sheetData>
    <row r="1" spans="1:20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13</v>
      </c>
      <c r="F1" s="2" t="s">
        <v>14</v>
      </c>
      <c r="G1" s="2" t="s">
        <v>15</v>
      </c>
      <c r="H1" s="2" t="s">
        <v>81</v>
      </c>
      <c r="I1" s="2" t="s">
        <v>16</v>
      </c>
      <c r="J1" s="2" t="s">
        <v>17</v>
      </c>
      <c r="K1" s="2" t="s">
        <v>12</v>
      </c>
    </row>
    <row r="2" spans="1:20" x14ac:dyDescent="0.2">
      <c r="A2" s="17" t="s">
        <v>18</v>
      </c>
      <c r="B2" s="17">
        <v>35.450000000000003</v>
      </c>
      <c r="C2" s="3">
        <v>1</v>
      </c>
      <c r="D2" s="17">
        <v>1</v>
      </c>
      <c r="E2" s="27">
        <v>7.1033855308415078E-2</v>
      </c>
      <c r="F2" s="17" t="s">
        <v>71</v>
      </c>
      <c r="G2" s="3">
        <v>0</v>
      </c>
      <c r="H2" s="3" t="s">
        <v>21</v>
      </c>
      <c r="I2" s="17">
        <v>0</v>
      </c>
      <c r="J2" s="3" t="s">
        <v>21</v>
      </c>
      <c r="K2" s="17" t="s">
        <v>19</v>
      </c>
      <c r="N2" s="11"/>
      <c r="O2" s="11"/>
      <c r="P2" s="11"/>
      <c r="Q2" s="11"/>
      <c r="R2" s="11"/>
      <c r="S2" s="11"/>
      <c r="T2" s="11"/>
    </row>
    <row r="3" spans="1:20" x14ac:dyDescent="0.2">
      <c r="A3" s="17" t="s">
        <v>22</v>
      </c>
      <c r="B3" s="17">
        <v>96.06</v>
      </c>
      <c r="C3" s="3">
        <v>2.7E-2</v>
      </c>
      <c r="D3" s="17">
        <v>2</v>
      </c>
      <c r="E3" s="27">
        <v>7.916175021784172E-2</v>
      </c>
      <c r="F3" s="17" t="s">
        <v>71</v>
      </c>
      <c r="G3" s="3">
        <v>0</v>
      </c>
      <c r="H3" s="3" t="s">
        <v>21</v>
      </c>
      <c r="I3" s="17">
        <v>0</v>
      </c>
      <c r="J3" s="3" t="s">
        <v>21</v>
      </c>
      <c r="K3" s="17" t="s">
        <v>73</v>
      </c>
      <c r="N3" s="1"/>
      <c r="O3" s="1"/>
      <c r="P3" s="1"/>
      <c r="Q3" s="1"/>
      <c r="R3" s="1"/>
      <c r="S3" s="1"/>
      <c r="T3" s="1"/>
    </row>
    <row r="4" spans="1:20" x14ac:dyDescent="0.2">
      <c r="A4" s="17" t="s">
        <v>23</v>
      </c>
      <c r="B4" s="17">
        <v>61.02</v>
      </c>
      <c r="C4" s="3">
        <v>0.32</v>
      </c>
      <c r="D4" s="17">
        <v>1</v>
      </c>
      <c r="E4" s="27">
        <v>5.0454639132858581E-2</v>
      </c>
      <c r="F4" s="17" t="s">
        <v>71</v>
      </c>
      <c r="G4" s="3">
        <v>0</v>
      </c>
      <c r="H4" s="3" t="s">
        <v>21</v>
      </c>
      <c r="I4" s="17">
        <v>0</v>
      </c>
      <c r="J4" s="3" t="s">
        <v>21</v>
      </c>
      <c r="K4" s="17" t="s">
        <v>73</v>
      </c>
      <c r="N4" s="1"/>
      <c r="O4" s="1"/>
      <c r="P4" s="1"/>
      <c r="Q4" s="1"/>
      <c r="R4" s="1"/>
      <c r="S4" s="1"/>
      <c r="T4" s="1"/>
    </row>
    <row r="5" spans="1:20" x14ac:dyDescent="0.2">
      <c r="A5" s="17" t="s">
        <v>24</v>
      </c>
      <c r="B5" s="17">
        <v>62.01</v>
      </c>
      <c r="C5" s="3">
        <v>13</v>
      </c>
      <c r="D5" s="17">
        <v>1</v>
      </c>
      <c r="E5" s="27">
        <v>5.1652033094747189E-2</v>
      </c>
      <c r="F5" s="17" t="s">
        <v>71</v>
      </c>
      <c r="G5" s="3">
        <v>0</v>
      </c>
      <c r="H5" s="3" t="s">
        <v>21</v>
      </c>
      <c r="I5" s="17">
        <v>0</v>
      </c>
      <c r="J5" s="3" t="s">
        <v>21</v>
      </c>
      <c r="K5" s="17" t="s">
        <v>73</v>
      </c>
      <c r="N5" s="1"/>
      <c r="O5" s="1"/>
      <c r="P5" s="1"/>
      <c r="Q5" s="1"/>
      <c r="R5" s="1"/>
      <c r="S5" s="1"/>
      <c r="T5" s="1"/>
    </row>
    <row r="6" spans="1:20" ht="17" x14ac:dyDescent="0.25">
      <c r="A6" s="31" t="s">
        <v>1</v>
      </c>
      <c r="B6" s="17">
        <v>264.04700000000003</v>
      </c>
      <c r="C6" s="52">
        <v>136.30000000000001</v>
      </c>
      <c r="D6" s="17">
        <v>1</v>
      </c>
      <c r="E6" s="27">
        <v>2.0394609191157882E-2</v>
      </c>
      <c r="F6" s="17" t="s">
        <v>20</v>
      </c>
      <c r="G6" s="51">
        <v>1.1599999999999999E-9</v>
      </c>
      <c r="H6" s="3" t="s">
        <v>21</v>
      </c>
      <c r="I6" s="17">
        <v>0</v>
      </c>
      <c r="J6" s="3" t="s">
        <v>21</v>
      </c>
      <c r="K6" s="17" t="s">
        <v>73</v>
      </c>
      <c r="N6" s="1"/>
      <c r="O6" s="1"/>
      <c r="P6" s="1"/>
      <c r="Q6" s="1"/>
      <c r="R6" s="1"/>
      <c r="S6" s="1"/>
      <c r="T6" s="1"/>
    </row>
    <row r="7" spans="1:20" ht="17" x14ac:dyDescent="0.25">
      <c r="A7" s="31" t="s">
        <v>2</v>
      </c>
      <c r="B7" s="17">
        <v>313.04700000000003</v>
      </c>
      <c r="C7" s="52">
        <v>172</v>
      </c>
      <c r="D7" s="17">
        <v>1</v>
      </c>
      <c r="E7" s="27">
        <v>1.8554049475036211E-2</v>
      </c>
      <c r="F7" s="17" t="s">
        <v>20</v>
      </c>
      <c r="G7" s="51">
        <v>6.59E-10</v>
      </c>
      <c r="H7" s="3" t="s">
        <v>21</v>
      </c>
      <c r="I7" s="17">
        <v>0</v>
      </c>
      <c r="J7" s="3" t="s">
        <v>21</v>
      </c>
      <c r="K7" s="17" t="s">
        <v>73</v>
      </c>
      <c r="N7" s="1"/>
      <c r="O7" s="1"/>
      <c r="P7" s="1"/>
      <c r="Q7" s="1"/>
      <c r="R7" s="1"/>
      <c r="S7" s="1"/>
      <c r="T7" s="1"/>
    </row>
    <row r="8" spans="1:20" ht="17" x14ac:dyDescent="0.25">
      <c r="A8" s="31" t="s">
        <v>3</v>
      </c>
      <c r="B8" s="44">
        <v>330.05</v>
      </c>
      <c r="C8" s="52">
        <v>172</v>
      </c>
      <c r="D8" s="17">
        <v>1</v>
      </c>
      <c r="E8" s="27">
        <v>1.8168819206465719E-2</v>
      </c>
      <c r="F8" s="17" t="s">
        <v>20</v>
      </c>
      <c r="G8" s="51">
        <v>8.5299999999999995E-10</v>
      </c>
      <c r="H8" s="3" t="s">
        <v>21</v>
      </c>
      <c r="I8" s="17">
        <v>0</v>
      </c>
      <c r="J8" s="3" t="s">
        <v>21</v>
      </c>
      <c r="K8" s="17" t="s">
        <v>73</v>
      </c>
      <c r="N8" s="1"/>
      <c r="O8" s="1"/>
      <c r="P8" s="1"/>
      <c r="Q8" s="1"/>
      <c r="R8" s="1"/>
      <c r="S8" s="1"/>
      <c r="T8" s="1"/>
    </row>
    <row r="9" spans="1:20" ht="17" x14ac:dyDescent="0.25">
      <c r="A9" s="31" t="s">
        <v>4</v>
      </c>
      <c r="B9" s="17">
        <v>214.03899999999999</v>
      </c>
      <c r="C9" s="52">
        <v>39.6</v>
      </c>
      <c r="D9" s="17">
        <v>1</v>
      </c>
      <c r="E9" s="27">
        <v>2.282832704392946E-2</v>
      </c>
      <c r="F9" s="17" t="s">
        <v>20</v>
      </c>
      <c r="G9" s="51">
        <v>1.2199999999999999E-9</v>
      </c>
      <c r="H9" s="3" t="s">
        <v>21</v>
      </c>
      <c r="I9" s="17">
        <v>0</v>
      </c>
      <c r="J9" s="3" t="s">
        <v>21</v>
      </c>
      <c r="K9" s="17" t="s">
        <v>73</v>
      </c>
      <c r="N9" s="1"/>
      <c r="O9" s="1"/>
      <c r="P9" s="1"/>
      <c r="Q9" s="1"/>
      <c r="R9" s="1"/>
      <c r="S9" s="1"/>
      <c r="T9" s="1"/>
    </row>
    <row r="10" spans="1:20" ht="17" x14ac:dyDescent="0.25">
      <c r="A10" s="31" t="s">
        <v>5</v>
      </c>
      <c r="B10" s="17">
        <v>180.03</v>
      </c>
      <c r="C10" s="52">
        <v>25.1</v>
      </c>
      <c r="D10" s="17">
        <v>1</v>
      </c>
      <c r="E10" s="27">
        <v>2.5510302190007245E-2</v>
      </c>
      <c r="F10" s="17" t="s">
        <v>20</v>
      </c>
      <c r="G10" s="28">
        <v>6.6699999999999997E-10</v>
      </c>
      <c r="H10" s="3" t="s">
        <v>21</v>
      </c>
      <c r="I10" s="17">
        <v>0</v>
      </c>
      <c r="J10" s="3" t="s">
        <v>21</v>
      </c>
      <c r="K10" s="17" t="s">
        <v>73</v>
      </c>
      <c r="N10" s="1"/>
      <c r="O10" s="1"/>
      <c r="P10" s="1"/>
      <c r="Q10" s="1"/>
      <c r="R10" s="1"/>
      <c r="S10" s="1"/>
      <c r="T10" s="1"/>
    </row>
    <row r="11" spans="1:20" ht="17" x14ac:dyDescent="0.25">
      <c r="A11" s="31" t="s">
        <v>6</v>
      </c>
      <c r="B11" s="31">
        <v>230.03800000000001</v>
      </c>
      <c r="C11" s="52">
        <v>55</v>
      </c>
      <c r="D11" s="17">
        <v>1</v>
      </c>
      <c r="E11" s="27">
        <v>2.2220612793299517E-2</v>
      </c>
      <c r="F11" s="17" t="s">
        <v>20</v>
      </c>
      <c r="G11" s="51">
        <v>2.1200000000000001E-9</v>
      </c>
      <c r="H11" s="3" t="s">
        <v>21</v>
      </c>
      <c r="I11" s="17">
        <v>0</v>
      </c>
      <c r="J11" s="3" t="s">
        <v>21</v>
      </c>
      <c r="K11" s="17" t="s">
        <v>73</v>
      </c>
      <c r="N11" s="1"/>
      <c r="O11" s="1"/>
      <c r="P11" s="1"/>
      <c r="Q11" s="1"/>
      <c r="R11" s="1"/>
      <c r="S11" s="1"/>
      <c r="T11" s="1"/>
    </row>
    <row r="12" spans="1:20" ht="17" x14ac:dyDescent="0.25">
      <c r="A12" s="31" t="s">
        <v>7</v>
      </c>
      <c r="B12" s="31">
        <v>327.14</v>
      </c>
      <c r="C12" s="52">
        <v>109</v>
      </c>
      <c r="D12" s="17">
        <v>1</v>
      </c>
      <c r="E12" s="27">
        <v>1.7815186442197203E-2</v>
      </c>
      <c r="F12" s="17" t="s">
        <v>20</v>
      </c>
      <c r="G12" s="28">
        <v>1.14E-9</v>
      </c>
      <c r="H12" s="3" t="s">
        <v>21</v>
      </c>
      <c r="I12" s="17">
        <v>0</v>
      </c>
      <c r="J12" s="3" t="s">
        <v>21</v>
      </c>
      <c r="K12" s="17" t="s">
        <v>73</v>
      </c>
      <c r="N12" s="1"/>
      <c r="O12" s="1"/>
      <c r="P12" s="1"/>
      <c r="Q12" s="1"/>
      <c r="R12" s="1"/>
      <c r="S12" s="1"/>
      <c r="T12" s="1"/>
    </row>
    <row r="13" spans="1:20" x14ac:dyDescent="0.2">
      <c r="N13" s="1"/>
      <c r="O13" s="1"/>
      <c r="P13" s="1"/>
      <c r="Q13" s="1"/>
      <c r="R13" s="1"/>
      <c r="S13" s="1"/>
      <c r="T13" s="1"/>
    </row>
    <row r="14" spans="1:20" x14ac:dyDescent="0.2">
      <c r="N14" s="1"/>
      <c r="O14" s="1"/>
      <c r="P14" s="1"/>
      <c r="Q14" s="1"/>
      <c r="R14" s="1"/>
      <c r="S14" s="1"/>
      <c r="T14" s="1"/>
    </row>
    <row r="15" spans="1:20" x14ac:dyDescent="0.2">
      <c r="N15" s="1"/>
      <c r="O15" s="1"/>
      <c r="P15" s="1"/>
      <c r="Q15" s="1"/>
      <c r="R15" s="1"/>
      <c r="S15" s="1"/>
      <c r="T15" s="1"/>
    </row>
    <row r="16" spans="1:20" x14ac:dyDescent="0.2">
      <c r="N16" s="1"/>
      <c r="O16" s="1"/>
      <c r="P16" s="1"/>
      <c r="Q16" s="1"/>
      <c r="R16" s="1"/>
      <c r="S16" s="1"/>
      <c r="T16" s="1"/>
    </row>
    <row r="17" spans="2:20" x14ac:dyDescent="0.2">
      <c r="N17" s="1"/>
      <c r="O17" s="1"/>
      <c r="P17" s="1"/>
      <c r="Q17" s="1"/>
      <c r="R17" s="1"/>
      <c r="S17" s="1"/>
      <c r="T17" s="1"/>
    </row>
    <row r="18" spans="2:20" x14ac:dyDescent="0.2">
      <c r="N18" s="1"/>
      <c r="O18" s="1"/>
      <c r="P18" s="1"/>
      <c r="Q18" s="1"/>
      <c r="R18" s="1"/>
      <c r="S18" s="1"/>
      <c r="T18" s="1"/>
    </row>
    <row r="19" spans="2:20" x14ac:dyDescent="0.2">
      <c r="I19" s="28"/>
      <c r="N19" s="1"/>
      <c r="O19" s="1"/>
      <c r="P19" s="1"/>
      <c r="Q19" s="1"/>
      <c r="R19" s="1"/>
      <c r="S19" s="1"/>
      <c r="T19" s="1"/>
    </row>
    <row r="20" spans="2:20" x14ac:dyDescent="0.2">
      <c r="I20" s="28"/>
      <c r="N20" s="1"/>
      <c r="O20" s="1"/>
      <c r="P20" s="1"/>
      <c r="Q20" s="1"/>
      <c r="R20" s="1"/>
      <c r="S20" s="1"/>
      <c r="T20" s="1"/>
    </row>
    <row r="21" spans="2:20" x14ac:dyDescent="0.2">
      <c r="B21" s="6"/>
      <c r="C21" s="46"/>
      <c r="D21" s="7"/>
      <c r="I21" s="28"/>
      <c r="N21" s="1"/>
      <c r="O21" s="1"/>
      <c r="P21" s="1"/>
      <c r="Q21" s="1"/>
      <c r="R21" s="1"/>
      <c r="S21" s="1"/>
      <c r="T21" s="1"/>
    </row>
    <row r="22" spans="2:20" x14ac:dyDescent="0.2">
      <c r="B22" s="8"/>
      <c r="C22" s="9"/>
      <c r="D22" s="9"/>
      <c r="I22" s="28"/>
      <c r="N22" s="1"/>
      <c r="O22" s="1"/>
      <c r="P22" s="1"/>
      <c r="Q22" s="1"/>
      <c r="R22" s="1"/>
      <c r="S22" s="1"/>
      <c r="T22" s="1"/>
    </row>
    <row r="23" spans="2:20" x14ac:dyDescent="0.2">
      <c r="B23" s="8"/>
      <c r="C23" s="9"/>
      <c r="D23" s="9"/>
      <c r="I23" s="28"/>
      <c r="N23" s="1"/>
      <c r="O23" s="1"/>
      <c r="P23" s="1"/>
      <c r="Q23" s="1"/>
      <c r="R23" s="1"/>
      <c r="S23" s="1"/>
      <c r="T23" s="1"/>
    </row>
    <row r="24" spans="2:20" x14ac:dyDescent="0.2">
      <c r="B24" s="8"/>
      <c r="C24" s="9"/>
      <c r="D24" s="9"/>
      <c r="I24" s="28"/>
      <c r="N24" s="1"/>
      <c r="O24" s="1"/>
      <c r="P24" s="1"/>
      <c r="Q24" s="1"/>
      <c r="R24" s="1"/>
      <c r="S24" s="1"/>
      <c r="T24" s="1"/>
    </row>
    <row r="25" spans="2:20" x14ac:dyDescent="0.2">
      <c r="B25" s="8"/>
      <c r="C25" s="9"/>
      <c r="D25" s="9"/>
      <c r="I25" s="28"/>
      <c r="N25" s="1"/>
      <c r="O25" s="1"/>
      <c r="P25" s="1"/>
      <c r="Q25" s="1"/>
      <c r="R25" s="1"/>
      <c r="S25" s="1"/>
      <c r="T25" s="1"/>
    </row>
    <row r="26" spans="2:20" x14ac:dyDescent="0.2">
      <c r="B26" s="8"/>
      <c r="C26" s="9"/>
      <c r="D26" s="9"/>
      <c r="N26" s="1"/>
      <c r="O26" s="1"/>
      <c r="P26" s="1"/>
      <c r="Q26" s="1"/>
      <c r="R26" s="1"/>
      <c r="S26" s="1"/>
      <c r="T26" s="1"/>
    </row>
    <row r="27" spans="2:20" x14ac:dyDescent="0.2">
      <c r="B27" s="8"/>
      <c r="C27" s="9"/>
      <c r="D27" s="9"/>
      <c r="N27" s="1"/>
      <c r="O27" s="1"/>
      <c r="P27" s="1"/>
      <c r="Q27" s="1"/>
      <c r="R27" s="1"/>
      <c r="S27" s="1"/>
      <c r="T27" s="1"/>
    </row>
    <row r="28" spans="2:20" x14ac:dyDescent="0.2">
      <c r="B28" s="8"/>
      <c r="C28" s="9"/>
      <c r="D28" s="9"/>
      <c r="N28" s="1"/>
      <c r="O28" s="1"/>
      <c r="P28" s="1"/>
      <c r="Q28" s="1"/>
      <c r="R28" s="1"/>
      <c r="S28" s="1"/>
      <c r="T28" s="1"/>
    </row>
    <row r="29" spans="2:20" x14ac:dyDescent="0.2">
      <c r="B29" s="8"/>
      <c r="C29" s="9"/>
      <c r="D29" s="9"/>
      <c r="N29" s="1"/>
      <c r="O29" s="1"/>
      <c r="P29" s="1"/>
      <c r="Q29" s="1"/>
      <c r="R29" s="1"/>
      <c r="S29" s="1"/>
      <c r="T29" s="1"/>
    </row>
    <row r="30" spans="2:20" x14ac:dyDescent="0.2">
      <c r="B30" s="8"/>
      <c r="C30" s="9"/>
      <c r="D30" s="9"/>
      <c r="N30" s="1"/>
      <c r="O30" s="1"/>
      <c r="P30" s="1"/>
      <c r="Q30" s="1"/>
      <c r="R30" s="1"/>
      <c r="S30" s="1"/>
      <c r="T30" s="1"/>
    </row>
    <row r="31" spans="2:20" x14ac:dyDescent="0.2">
      <c r="B31" s="8"/>
      <c r="C31" s="9"/>
      <c r="D31" s="9"/>
      <c r="N31" s="1"/>
      <c r="O31" s="1"/>
      <c r="P31" s="1"/>
      <c r="Q31" s="1"/>
      <c r="R31" s="1"/>
      <c r="S31" s="1"/>
      <c r="T31" s="1"/>
    </row>
    <row r="32" spans="2:20" x14ac:dyDescent="0.2">
      <c r="B32" s="8"/>
      <c r="C32" s="9"/>
      <c r="D32" s="9"/>
      <c r="N32" s="1"/>
      <c r="O32" s="1"/>
      <c r="P32" s="1"/>
      <c r="Q32" s="1"/>
      <c r="R32" s="1"/>
      <c r="S32" s="1"/>
      <c r="T32" s="1"/>
    </row>
    <row r="33" spans="2:20" x14ac:dyDescent="0.2">
      <c r="B33" s="8"/>
      <c r="C33" s="9"/>
      <c r="D33" s="9"/>
      <c r="N33" s="1"/>
      <c r="O33" s="1"/>
      <c r="P33" s="1"/>
      <c r="Q33" s="1"/>
      <c r="R33" s="1"/>
      <c r="S33" s="1"/>
      <c r="T33" s="1"/>
    </row>
    <row r="34" spans="2:20" x14ac:dyDescent="0.2">
      <c r="B34" s="8"/>
      <c r="C34" s="9"/>
      <c r="D34" s="9"/>
      <c r="N34" s="1"/>
      <c r="O34" s="1"/>
      <c r="P34" s="1"/>
      <c r="Q34" s="1"/>
      <c r="R34" s="1"/>
      <c r="S34" s="1"/>
      <c r="T34" s="1"/>
    </row>
    <row r="35" spans="2:20" x14ac:dyDescent="0.2">
      <c r="B35" s="8"/>
      <c r="C35" s="9"/>
      <c r="D35" s="9"/>
      <c r="N35" s="1"/>
      <c r="O35" s="1"/>
      <c r="P35" s="1"/>
      <c r="Q35" s="1"/>
      <c r="R35" s="1"/>
      <c r="S35" s="1"/>
      <c r="T35" s="1"/>
    </row>
    <row r="36" spans="2:20" x14ac:dyDescent="0.2">
      <c r="B36" s="8"/>
      <c r="C36" s="9"/>
      <c r="D36" s="9"/>
      <c r="N36" s="1"/>
      <c r="O36" s="1"/>
      <c r="P36" s="1"/>
      <c r="Q36" s="1"/>
      <c r="R36" s="1"/>
      <c r="S36" s="1"/>
      <c r="T36" s="1"/>
    </row>
    <row r="37" spans="2:20" x14ac:dyDescent="0.2">
      <c r="B37" s="8"/>
      <c r="C37" s="9"/>
      <c r="D37" s="9"/>
      <c r="N37" s="1"/>
      <c r="O37" s="1"/>
      <c r="P37" s="1"/>
      <c r="Q37" s="1"/>
      <c r="R37" s="1"/>
      <c r="S37" s="1"/>
      <c r="T37" s="1"/>
    </row>
    <row r="38" spans="2:20" x14ac:dyDescent="0.2">
      <c r="B38" s="8"/>
      <c r="C38" s="9"/>
      <c r="D38" s="9"/>
      <c r="N38" s="1"/>
      <c r="O38" s="1"/>
      <c r="P38" s="1"/>
      <c r="Q38" s="1"/>
      <c r="R38" s="1"/>
      <c r="S38" s="1"/>
      <c r="T38" s="1"/>
    </row>
    <row r="39" spans="2:20" x14ac:dyDescent="0.2">
      <c r="B39" s="8"/>
      <c r="C39" s="9"/>
      <c r="D3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8E68-30B6-0E40-AE92-C38262184BAC}">
  <dimension ref="A1:W54"/>
  <sheetViews>
    <sheetView zoomScale="142" zoomScaleNormal="132" workbookViewId="0">
      <selection activeCell="D11" sqref="D11"/>
    </sheetView>
  </sheetViews>
  <sheetFormatPr baseColWidth="10" defaultRowHeight="16" x14ac:dyDescent="0.2"/>
  <cols>
    <col min="1" max="1" width="15.6640625" bestFit="1" customWidth="1"/>
    <col min="2" max="2" width="13.33203125" bestFit="1" customWidth="1"/>
    <col min="3" max="5" width="12.33203125" customWidth="1"/>
    <col min="6" max="10" width="13.33203125" bestFit="1" customWidth="1"/>
    <col min="11" max="11" width="10.6640625" bestFit="1" customWidth="1"/>
    <col min="12" max="12" width="13.33203125" bestFit="1" customWidth="1"/>
    <col min="13" max="13" width="9.33203125" style="4" bestFit="1" customWidth="1"/>
    <col min="15" max="15" width="13.1640625" bestFit="1" customWidth="1"/>
    <col min="16" max="23" width="11.1640625" bestFit="1" customWidth="1"/>
  </cols>
  <sheetData>
    <row r="1" spans="1:23" x14ac:dyDescent="0.2">
      <c r="A1" s="39" t="s">
        <v>30</v>
      </c>
      <c r="B1" s="43" t="s">
        <v>18</v>
      </c>
      <c r="C1" s="17" t="s">
        <v>22</v>
      </c>
      <c r="D1" s="17" t="s">
        <v>23</v>
      </c>
      <c r="E1" s="17" t="s">
        <v>24</v>
      </c>
      <c r="F1" s="40" t="s">
        <v>1</v>
      </c>
      <c r="G1" s="39" t="s">
        <v>2</v>
      </c>
      <c r="H1" s="39" t="s">
        <v>3</v>
      </c>
      <c r="I1" s="39" t="s">
        <v>4</v>
      </c>
      <c r="J1" s="39" t="s">
        <v>5</v>
      </c>
      <c r="K1" s="39" t="s">
        <v>6</v>
      </c>
      <c r="L1" s="40" t="s">
        <v>7</v>
      </c>
      <c r="M1"/>
    </row>
    <row r="2" spans="1:23" x14ac:dyDescent="0.2">
      <c r="A2" s="54">
        <v>0</v>
      </c>
      <c r="B2" s="55">
        <v>1.1200000000000001</v>
      </c>
      <c r="C2" s="55">
        <v>0</v>
      </c>
      <c r="D2" s="55">
        <v>0</v>
      </c>
      <c r="E2" s="55">
        <v>0</v>
      </c>
      <c r="F2" s="55">
        <v>3.5915999999999997E-4</v>
      </c>
      <c r="G2" s="55">
        <v>4.1499499999999998E-4</v>
      </c>
      <c r="H2" s="55">
        <v>3.7415500000000004E-4</v>
      </c>
      <c r="I2" s="55">
        <v>4.17785E-4</v>
      </c>
      <c r="J2" s="55">
        <v>3.3890500000000002E-4</v>
      </c>
      <c r="K2" s="55">
        <v>2.1307999999999999E-4</v>
      </c>
      <c r="L2" s="55">
        <v>3.2313999999999997E-4</v>
      </c>
      <c r="M2" s="1"/>
      <c r="O2" s="35"/>
      <c r="P2" s="5"/>
      <c r="Q2" s="35"/>
      <c r="R2" s="35"/>
      <c r="S2" s="35"/>
      <c r="T2" s="35"/>
      <c r="U2" s="35"/>
      <c r="V2" s="35"/>
      <c r="W2" s="35"/>
    </row>
    <row r="3" spans="1:23" x14ac:dyDescent="0.2">
      <c r="A3" s="53">
        <v>150000</v>
      </c>
      <c r="B3" s="55">
        <v>1.1200000000000001</v>
      </c>
      <c r="C3" s="55">
        <v>0</v>
      </c>
      <c r="D3" s="55">
        <v>0</v>
      </c>
      <c r="E3" s="55">
        <v>0</v>
      </c>
      <c r="F3" s="55">
        <v>3.8279999999999998E-4</v>
      </c>
      <c r="G3" s="55">
        <v>4.3532E-4</v>
      </c>
      <c r="H3" s="55">
        <v>4.0757E-4</v>
      </c>
      <c r="I3" s="55">
        <v>4.5527000000000002E-4</v>
      </c>
      <c r="J3" s="55">
        <v>3.8463000000000001E-4</v>
      </c>
      <c r="K3" s="55">
        <v>2.3143E-4</v>
      </c>
      <c r="L3" s="55">
        <v>3.4258999999999998E-4</v>
      </c>
      <c r="M3" s="1"/>
      <c r="N3" s="1"/>
      <c r="O3" s="36"/>
      <c r="P3" s="37"/>
      <c r="Q3" s="38"/>
      <c r="R3" s="38"/>
      <c r="S3" s="38"/>
      <c r="T3" s="38"/>
      <c r="U3" s="38"/>
      <c r="V3" s="38"/>
      <c r="W3" s="38"/>
    </row>
    <row r="4" spans="1:23" x14ac:dyDescent="0.2">
      <c r="A4" s="53">
        <v>309171.03580000001</v>
      </c>
      <c r="B4" s="55">
        <v>1.1200000000000001</v>
      </c>
      <c r="C4" s="56">
        <v>0</v>
      </c>
      <c r="D4" s="56">
        <v>0</v>
      </c>
      <c r="E4" s="56">
        <v>0</v>
      </c>
      <c r="F4" s="56">
        <v>0.3282520815144</v>
      </c>
      <c r="G4" s="56">
        <v>8.6010566103790001E-2</v>
      </c>
      <c r="H4" s="56">
        <v>7.0278108850799992E-2</v>
      </c>
      <c r="I4" s="56">
        <v>0.3496373252412</v>
      </c>
      <c r="J4" s="56">
        <v>0.27099501867985998</v>
      </c>
      <c r="K4" s="56">
        <v>0.18836024168912999</v>
      </c>
      <c r="L4" s="56">
        <v>0.30650942819838001</v>
      </c>
      <c r="M4"/>
      <c r="O4" s="33"/>
      <c r="P4" s="37"/>
      <c r="Q4" s="37"/>
      <c r="R4" s="37"/>
      <c r="S4" s="37"/>
      <c r="T4" s="37"/>
      <c r="U4" s="37"/>
      <c r="V4" s="37"/>
      <c r="W4" s="37"/>
    </row>
    <row r="5" spans="1:23" x14ac:dyDescent="0.2">
      <c r="A5" s="16"/>
      <c r="B5" s="28"/>
      <c r="C5" s="28"/>
      <c r="D5" s="28"/>
      <c r="E5" s="28"/>
      <c r="F5" s="30"/>
      <c r="G5" s="30"/>
      <c r="H5" s="30"/>
      <c r="I5" s="30"/>
      <c r="J5" s="30"/>
      <c r="K5" s="30"/>
      <c r="L5" s="30"/>
      <c r="O5" s="33"/>
      <c r="P5" s="37"/>
      <c r="Q5" s="37"/>
      <c r="R5" s="37"/>
      <c r="S5" s="37"/>
      <c r="T5" s="37"/>
      <c r="U5" s="37"/>
      <c r="V5" s="37"/>
      <c r="W5" s="37"/>
    </row>
    <row r="6" spans="1:23" x14ac:dyDescent="0.2">
      <c r="A6" s="16"/>
      <c r="B6" s="28"/>
      <c r="C6" s="28"/>
      <c r="D6" s="28"/>
      <c r="E6" s="28"/>
      <c r="F6" s="30"/>
      <c r="G6" s="30"/>
      <c r="H6" s="30"/>
      <c r="I6" s="30"/>
      <c r="J6" s="30"/>
      <c r="K6" s="30"/>
      <c r="L6" s="30"/>
      <c r="O6" s="33"/>
      <c r="P6" s="37"/>
      <c r="Q6" s="37"/>
      <c r="R6" s="37"/>
      <c r="S6" s="37"/>
      <c r="T6" s="37"/>
      <c r="U6" s="37"/>
      <c r="V6" s="37"/>
      <c r="W6" s="37"/>
    </row>
    <row r="7" spans="1:23" x14ac:dyDescent="0.2">
      <c r="A7" s="16"/>
      <c r="B7" s="28"/>
      <c r="C7" s="28"/>
      <c r="D7" s="28"/>
      <c r="E7" s="28"/>
      <c r="F7" s="30"/>
      <c r="G7" s="30"/>
      <c r="H7" s="30"/>
      <c r="I7" s="30"/>
      <c r="J7" s="30"/>
      <c r="K7" s="30"/>
      <c r="L7" s="30"/>
      <c r="O7" s="33"/>
      <c r="P7" s="37"/>
      <c r="Q7" s="37"/>
      <c r="R7" s="37"/>
      <c r="S7" s="37"/>
      <c r="T7" s="37"/>
      <c r="U7" s="37"/>
      <c r="V7" s="37"/>
      <c r="W7" s="37"/>
    </row>
    <row r="8" spans="1:23" x14ac:dyDescent="0.2">
      <c r="A8" s="16"/>
      <c r="B8" s="28"/>
      <c r="C8" s="28"/>
      <c r="D8" s="28"/>
      <c r="E8" s="28"/>
      <c r="F8" s="30"/>
      <c r="G8" s="30"/>
      <c r="H8" s="30"/>
      <c r="I8" s="30"/>
      <c r="J8" s="30"/>
      <c r="K8" s="30"/>
      <c r="L8" s="30"/>
      <c r="O8" s="33"/>
      <c r="P8" s="37"/>
      <c r="Q8" s="37"/>
      <c r="R8" s="37"/>
      <c r="S8" s="37"/>
      <c r="T8" s="37"/>
      <c r="U8" s="37"/>
      <c r="V8" s="37"/>
      <c r="W8" s="37"/>
    </row>
    <row r="9" spans="1:23" x14ac:dyDescent="0.2">
      <c r="A9" s="16"/>
      <c r="B9" s="28"/>
      <c r="C9" s="28"/>
      <c r="D9" s="28"/>
      <c r="E9" s="28"/>
      <c r="F9" s="30"/>
      <c r="G9" s="30"/>
      <c r="H9" s="30"/>
      <c r="I9" s="30"/>
      <c r="J9" s="30"/>
      <c r="K9" s="30"/>
      <c r="L9" s="30"/>
      <c r="O9" s="33"/>
      <c r="P9" s="37"/>
      <c r="Q9" s="37"/>
      <c r="R9" s="37"/>
      <c r="S9" s="37"/>
      <c r="T9" s="37"/>
      <c r="U9" s="37"/>
      <c r="V9" s="37"/>
      <c r="W9" s="37"/>
    </row>
    <row r="10" spans="1:23" x14ac:dyDescent="0.2">
      <c r="A10" s="16"/>
      <c r="B10" s="28"/>
      <c r="C10" s="28"/>
      <c r="D10" s="28"/>
      <c r="E10" s="28"/>
      <c r="F10" s="1"/>
      <c r="G10" s="1"/>
      <c r="H10" s="1"/>
      <c r="I10" s="1"/>
      <c r="J10" s="1"/>
      <c r="K10" s="1"/>
      <c r="L10" s="1"/>
      <c r="O10" s="33"/>
      <c r="P10" s="37"/>
      <c r="Q10" s="37"/>
      <c r="R10" s="37"/>
      <c r="S10" s="37"/>
      <c r="T10" s="37"/>
      <c r="U10" s="37"/>
      <c r="V10" s="37"/>
      <c r="W10" s="37"/>
    </row>
    <row r="11" spans="1:23" x14ac:dyDescent="0.2">
      <c r="A11" s="16"/>
      <c r="B11" s="28"/>
      <c r="C11" s="28"/>
      <c r="D11" s="28"/>
      <c r="E11" s="28"/>
      <c r="F11" s="1"/>
      <c r="G11" s="1"/>
      <c r="H11" s="1"/>
      <c r="I11" s="1"/>
      <c r="J11" s="1"/>
      <c r="K11" s="1"/>
      <c r="L11" s="1"/>
      <c r="O11" s="33"/>
      <c r="P11" s="37"/>
      <c r="Q11" s="37"/>
      <c r="R11" s="37"/>
      <c r="S11" s="37"/>
      <c r="T11" s="37"/>
      <c r="U11" s="37"/>
      <c r="V11" s="37"/>
      <c r="W11" s="37"/>
    </row>
    <row r="12" spans="1:23" x14ac:dyDescent="0.2">
      <c r="A12" s="16"/>
      <c r="B12" s="28"/>
      <c r="C12" s="28"/>
      <c r="D12" s="28"/>
      <c r="E12" s="28"/>
      <c r="F12" s="30"/>
      <c r="G12" s="30"/>
      <c r="H12" s="30"/>
      <c r="I12" s="30"/>
      <c r="J12" s="30"/>
      <c r="K12" s="30"/>
      <c r="L12" s="30"/>
      <c r="O12" s="33"/>
      <c r="P12" s="37"/>
      <c r="Q12" s="37"/>
      <c r="R12" s="37"/>
      <c r="S12" s="37"/>
      <c r="T12" s="37"/>
      <c r="U12" s="37"/>
      <c r="V12" s="37"/>
      <c r="W12" s="37"/>
    </row>
    <row r="13" spans="1:23" x14ac:dyDescent="0.2">
      <c r="A13" s="16"/>
      <c r="B13" s="28"/>
      <c r="C13" s="28"/>
      <c r="D13" s="28"/>
      <c r="E13" s="28"/>
      <c r="O13" s="33"/>
      <c r="P13" s="37"/>
      <c r="Q13" s="37"/>
      <c r="R13" s="37"/>
      <c r="S13" s="37"/>
      <c r="T13" s="37"/>
      <c r="U13" s="37"/>
      <c r="V13" s="37"/>
      <c r="W13" s="37"/>
    </row>
    <row r="14" spans="1:23" x14ac:dyDescent="0.2">
      <c r="A14" s="16"/>
      <c r="B14" s="28"/>
      <c r="C14" s="28"/>
      <c r="D14" s="28"/>
      <c r="E14" s="28"/>
      <c r="O14" s="33"/>
      <c r="P14" s="37"/>
      <c r="Q14" s="37"/>
      <c r="R14" s="37"/>
      <c r="S14" s="37"/>
      <c r="T14" s="37"/>
      <c r="U14" s="37"/>
      <c r="V14" s="37"/>
      <c r="W14" s="37"/>
    </row>
    <row r="15" spans="1:23" x14ac:dyDescent="0.2">
      <c r="A15" s="16"/>
      <c r="B15" s="28"/>
      <c r="C15" s="28"/>
      <c r="D15" s="28"/>
      <c r="E15" s="28"/>
      <c r="F15" s="30"/>
      <c r="G15" s="30"/>
      <c r="H15" s="30"/>
      <c r="I15" s="30"/>
      <c r="J15" s="30"/>
      <c r="K15" s="30"/>
      <c r="L15" s="30"/>
      <c r="O15" s="33"/>
      <c r="P15" s="37"/>
      <c r="Q15" s="37"/>
      <c r="R15" s="37"/>
      <c r="S15" s="37"/>
      <c r="T15" s="37"/>
      <c r="U15" s="37"/>
      <c r="V15" s="37"/>
      <c r="W15" s="37"/>
    </row>
    <row r="16" spans="1:23" x14ac:dyDescent="0.2">
      <c r="A16" s="16"/>
      <c r="B16" s="28"/>
      <c r="C16" s="28"/>
      <c r="D16" s="28"/>
      <c r="E16" s="28"/>
      <c r="F16" s="30"/>
      <c r="G16" s="30"/>
      <c r="H16" s="30"/>
      <c r="I16" s="30"/>
      <c r="J16" s="30"/>
      <c r="K16" s="30"/>
      <c r="L16" s="30"/>
      <c r="O16" s="33"/>
      <c r="P16" s="37"/>
      <c r="Q16" s="37"/>
      <c r="R16" s="37"/>
      <c r="S16" s="37"/>
      <c r="T16" s="37"/>
      <c r="U16" s="37"/>
      <c r="V16" s="37"/>
      <c r="W16" s="37"/>
    </row>
    <row r="17" spans="1:23" x14ac:dyDescent="0.2">
      <c r="A17" s="16"/>
      <c r="B17" s="28"/>
      <c r="C17" s="28"/>
      <c r="D17" s="28"/>
      <c r="E17" s="28"/>
      <c r="F17" s="30"/>
      <c r="G17" s="30"/>
      <c r="H17" s="30"/>
      <c r="I17" s="30"/>
      <c r="J17" s="30"/>
      <c r="K17" s="30"/>
      <c r="L17" s="30"/>
      <c r="O17" s="33"/>
      <c r="P17" s="37"/>
      <c r="Q17" s="37"/>
      <c r="R17" s="37"/>
      <c r="S17" s="37"/>
      <c r="T17" s="37"/>
      <c r="U17" s="37"/>
      <c r="V17" s="37"/>
      <c r="W17" s="37"/>
    </row>
    <row r="18" spans="1:23" x14ac:dyDescent="0.2">
      <c r="A18" s="16"/>
      <c r="B18" s="28"/>
      <c r="C18" s="28"/>
      <c r="D18" s="28"/>
      <c r="E18" s="28"/>
      <c r="F18" s="30"/>
      <c r="G18" s="30"/>
      <c r="H18" s="30"/>
      <c r="I18" s="30"/>
      <c r="J18" s="30"/>
      <c r="K18" s="30"/>
      <c r="L18" s="30"/>
      <c r="O18" s="33"/>
      <c r="P18" s="37"/>
      <c r="Q18" s="37"/>
      <c r="R18" s="37"/>
      <c r="S18" s="37"/>
      <c r="T18" s="37"/>
      <c r="U18" s="37"/>
      <c r="V18" s="37"/>
      <c r="W18" s="37"/>
    </row>
    <row r="19" spans="1:23" x14ac:dyDescent="0.2">
      <c r="A19" s="16"/>
      <c r="B19" s="28"/>
      <c r="C19" s="28"/>
      <c r="D19" s="28"/>
      <c r="E19" s="28"/>
      <c r="F19" s="30"/>
      <c r="G19" s="30"/>
      <c r="H19" s="30"/>
      <c r="I19" s="30"/>
      <c r="J19" s="30"/>
      <c r="K19" s="30"/>
      <c r="L19" s="30"/>
      <c r="O19" s="33"/>
      <c r="P19" s="37"/>
      <c r="Q19" s="37"/>
      <c r="R19" s="37"/>
      <c r="S19" s="37"/>
      <c r="T19" s="37"/>
      <c r="U19" s="37"/>
      <c r="V19" s="37"/>
      <c r="W19" s="37"/>
    </row>
    <row r="20" spans="1:23" x14ac:dyDescent="0.2">
      <c r="A20" s="16"/>
      <c r="B20" s="28"/>
      <c r="C20" s="28"/>
      <c r="D20" s="28"/>
      <c r="E20" s="28"/>
      <c r="F20" s="30"/>
      <c r="G20" s="30"/>
      <c r="H20" s="30"/>
      <c r="I20" s="30"/>
      <c r="J20" s="30"/>
      <c r="K20" s="30"/>
      <c r="L20" s="30"/>
      <c r="O20" s="33"/>
      <c r="P20" s="37"/>
      <c r="Q20" s="37"/>
      <c r="R20" s="37"/>
      <c r="S20" s="37"/>
      <c r="T20" s="37"/>
      <c r="U20" s="37"/>
      <c r="V20" s="37"/>
      <c r="W20" s="37"/>
    </row>
    <row r="21" spans="1:23" x14ac:dyDescent="0.2">
      <c r="A21" s="16"/>
      <c r="B21" s="28"/>
      <c r="C21" s="28"/>
      <c r="D21" s="28"/>
      <c r="E21" s="28"/>
      <c r="F21" s="30"/>
      <c r="G21" s="30"/>
      <c r="H21" s="30"/>
      <c r="I21" s="30"/>
      <c r="J21" s="30"/>
      <c r="K21" s="30"/>
      <c r="L21" s="30"/>
      <c r="O21" s="33"/>
      <c r="P21" s="37"/>
      <c r="Q21" s="37"/>
      <c r="R21" s="37"/>
      <c r="S21" s="37"/>
      <c r="T21" s="37"/>
      <c r="U21" s="37"/>
      <c r="V21" s="37"/>
      <c r="W21" s="37"/>
    </row>
    <row r="22" spans="1:23" x14ac:dyDescent="0.2">
      <c r="A22" s="16"/>
      <c r="B22" s="28"/>
      <c r="C22" s="28"/>
      <c r="D22" s="28"/>
      <c r="E22" s="28"/>
      <c r="F22" s="30"/>
      <c r="G22" s="30"/>
      <c r="H22" s="30"/>
      <c r="I22" s="30"/>
      <c r="J22" s="30"/>
      <c r="K22" s="30"/>
      <c r="L22" s="30"/>
      <c r="O22" s="33"/>
      <c r="P22" s="37"/>
      <c r="Q22" s="37"/>
      <c r="R22" s="37"/>
      <c r="S22" s="37"/>
      <c r="T22" s="37"/>
      <c r="U22" s="37"/>
      <c r="V22" s="37"/>
      <c r="W22" s="37"/>
    </row>
    <row r="23" spans="1:23" x14ac:dyDescent="0.2">
      <c r="A23" s="16"/>
      <c r="B23" s="28"/>
      <c r="C23" s="28"/>
      <c r="D23" s="28"/>
      <c r="E23" s="28"/>
      <c r="F23" s="30"/>
      <c r="G23" s="30"/>
      <c r="H23" s="30"/>
      <c r="I23" s="30"/>
      <c r="J23" s="30"/>
      <c r="K23" s="30"/>
      <c r="L23" s="30"/>
      <c r="O23" s="33"/>
      <c r="P23" s="37"/>
      <c r="Q23" s="37"/>
      <c r="R23" s="37"/>
      <c r="S23" s="37"/>
      <c r="T23" s="37"/>
      <c r="U23" s="37"/>
      <c r="V23" s="37"/>
      <c r="W23" s="37"/>
    </row>
    <row r="24" spans="1:23" x14ac:dyDescent="0.2">
      <c r="A24" s="16"/>
      <c r="B24" s="28"/>
      <c r="C24" s="28"/>
      <c r="D24" s="28"/>
      <c r="E24" s="28"/>
      <c r="F24" s="30"/>
      <c r="G24" s="30"/>
      <c r="H24" s="30"/>
      <c r="I24" s="30"/>
      <c r="J24" s="30"/>
      <c r="K24" s="30"/>
      <c r="L24" s="30"/>
      <c r="O24" s="33"/>
      <c r="P24" s="37"/>
      <c r="Q24" s="37"/>
      <c r="R24" s="37"/>
      <c r="S24" s="37"/>
      <c r="T24" s="37"/>
      <c r="U24" s="37"/>
      <c r="V24" s="37"/>
      <c r="W24" s="37"/>
    </row>
    <row r="25" spans="1:23" x14ac:dyDescent="0.2">
      <c r="A25" s="16"/>
      <c r="B25" s="28"/>
      <c r="C25" s="28"/>
      <c r="D25" s="28"/>
      <c r="E25" s="28"/>
      <c r="F25" s="30"/>
      <c r="G25" s="30"/>
      <c r="H25" s="30"/>
      <c r="I25" s="30"/>
      <c r="J25" s="30"/>
      <c r="K25" s="30"/>
      <c r="L25" s="30"/>
      <c r="O25" s="33"/>
      <c r="P25" s="37"/>
      <c r="Q25" s="37"/>
      <c r="R25" s="37"/>
      <c r="S25" s="37"/>
      <c r="T25" s="37"/>
      <c r="U25" s="37"/>
      <c r="V25" s="37"/>
      <c r="W25" s="37"/>
    </row>
    <row r="26" spans="1:23" x14ac:dyDescent="0.2">
      <c r="A26" s="16"/>
      <c r="B26" s="28"/>
      <c r="C26" s="28"/>
      <c r="D26" s="28"/>
      <c r="E26" s="28"/>
      <c r="F26" s="30"/>
      <c r="G26" s="30"/>
      <c r="H26" s="30"/>
      <c r="I26" s="30"/>
      <c r="J26" s="30"/>
      <c r="K26" s="30"/>
      <c r="L26" s="30"/>
      <c r="O26" s="33"/>
      <c r="P26" s="37"/>
      <c r="Q26" s="37"/>
      <c r="R26" s="37"/>
      <c r="S26" s="37"/>
      <c r="T26" s="37"/>
      <c r="U26" s="37"/>
      <c r="V26" s="37"/>
      <c r="W26" s="37"/>
    </row>
    <row r="27" spans="1:23" x14ac:dyDescent="0.2">
      <c r="A27" s="16"/>
      <c r="B27" s="28"/>
      <c r="C27" s="28"/>
      <c r="D27" s="28"/>
      <c r="E27" s="28"/>
      <c r="F27" s="30"/>
      <c r="G27" s="30"/>
      <c r="H27" s="30"/>
      <c r="I27" s="30"/>
      <c r="J27" s="30"/>
      <c r="K27" s="30"/>
      <c r="L27" s="30"/>
      <c r="O27" s="33"/>
      <c r="P27" s="37"/>
      <c r="Q27" s="37"/>
      <c r="R27" s="37"/>
      <c r="S27" s="37"/>
      <c r="T27" s="37"/>
      <c r="U27" s="37"/>
      <c r="V27" s="37"/>
      <c r="W27" s="37"/>
    </row>
    <row r="28" spans="1:23" x14ac:dyDescent="0.2">
      <c r="A28" s="16"/>
      <c r="B28" s="28"/>
      <c r="C28" s="28"/>
      <c r="D28" s="28"/>
      <c r="E28" s="28"/>
      <c r="F28" s="30"/>
      <c r="G28" s="30"/>
      <c r="H28" s="30"/>
      <c r="I28" s="30"/>
      <c r="J28" s="30"/>
      <c r="K28" s="30"/>
      <c r="L28" s="30"/>
      <c r="O28" s="33"/>
      <c r="P28" s="37"/>
      <c r="Q28" s="37"/>
      <c r="R28" s="37"/>
      <c r="S28" s="37"/>
      <c r="T28" s="37"/>
      <c r="U28" s="37"/>
      <c r="V28" s="37"/>
      <c r="W28" s="37"/>
    </row>
    <row r="29" spans="1:23" x14ac:dyDescent="0.2">
      <c r="A29" s="16"/>
      <c r="B29" s="28"/>
      <c r="C29" s="28"/>
      <c r="D29" s="28"/>
      <c r="E29" s="28"/>
      <c r="F29" s="30"/>
      <c r="G29" s="30"/>
      <c r="H29" s="30"/>
      <c r="I29" s="30"/>
      <c r="J29" s="30"/>
      <c r="K29" s="30"/>
      <c r="L29" s="30"/>
      <c r="O29" s="33"/>
      <c r="P29" s="37"/>
      <c r="Q29" s="37"/>
      <c r="R29" s="37"/>
      <c r="S29" s="37"/>
      <c r="T29" s="37"/>
      <c r="U29" s="37"/>
      <c r="V29" s="37"/>
      <c r="W29" s="37"/>
    </row>
    <row r="30" spans="1:23" x14ac:dyDescent="0.2">
      <c r="A30" s="16"/>
      <c r="B30" s="28"/>
      <c r="C30" s="28"/>
      <c r="D30" s="28"/>
      <c r="E30" s="28"/>
      <c r="F30" s="30"/>
      <c r="G30" s="30"/>
      <c r="H30" s="30"/>
      <c r="I30" s="30"/>
      <c r="J30" s="30"/>
      <c r="K30" s="30"/>
      <c r="L30" s="30"/>
      <c r="O30" s="33"/>
      <c r="P30" s="37"/>
      <c r="Q30" s="37"/>
      <c r="R30" s="37"/>
      <c r="S30" s="37"/>
      <c r="T30" s="37"/>
      <c r="U30" s="37"/>
      <c r="V30" s="37"/>
      <c r="W30" s="37"/>
    </row>
    <row r="31" spans="1:23" x14ac:dyDescent="0.2">
      <c r="A31" s="16"/>
      <c r="B31" s="28"/>
      <c r="C31" s="28"/>
      <c r="D31" s="28"/>
      <c r="E31" s="28"/>
      <c r="F31" s="30"/>
      <c r="G31" s="30"/>
      <c r="H31" s="30"/>
      <c r="I31" s="30"/>
      <c r="J31" s="30"/>
      <c r="K31" s="30"/>
      <c r="L31" s="30"/>
      <c r="O31" s="33"/>
      <c r="P31" s="37"/>
      <c r="Q31" s="37"/>
      <c r="R31" s="37"/>
      <c r="S31" s="37"/>
      <c r="T31" s="37"/>
      <c r="U31" s="37"/>
      <c r="V31" s="37"/>
      <c r="W31" s="37"/>
    </row>
    <row r="32" spans="1:23" x14ac:dyDescent="0.2">
      <c r="A32" s="16"/>
      <c r="B32" s="28"/>
      <c r="C32" s="28"/>
      <c r="D32" s="28"/>
      <c r="E32" s="28"/>
      <c r="F32" s="30"/>
      <c r="G32" s="30"/>
      <c r="H32" s="30"/>
      <c r="I32" s="30"/>
      <c r="J32" s="30"/>
      <c r="K32" s="30"/>
      <c r="L32" s="30"/>
      <c r="O32" s="33"/>
      <c r="P32" s="37"/>
      <c r="Q32" s="37"/>
      <c r="R32" s="37"/>
      <c r="S32" s="37"/>
      <c r="T32" s="37"/>
      <c r="U32" s="37"/>
      <c r="V32" s="37"/>
      <c r="W32" s="37"/>
    </row>
    <row r="33" spans="1:23" x14ac:dyDescent="0.2">
      <c r="A33" s="16"/>
      <c r="B33" s="28"/>
      <c r="C33" s="28"/>
      <c r="D33" s="28"/>
      <c r="E33" s="28"/>
      <c r="F33" s="30"/>
      <c r="G33" s="30"/>
      <c r="H33" s="30"/>
      <c r="I33" s="30"/>
      <c r="J33" s="30"/>
      <c r="K33" s="30"/>
      <c r="L33" s="30"/>
      <c r="O33" s="33"/>
      <c r="P33" s="37"/>
      <c r="Q33" s="37"/>
      <c r="R33" s="37"/>
      <c r="S33" s="37"/>
      <c r="T33" s="37"/>
      <c r="U33" s="37"/>
      <c r="V33" s="37"/>
      <c r="W33" s="37"/>
    </row>
    <row r="34" spans="1:23" x14ac:dyDescent="0.2">
      <c r="A34" s="16"/>
      <c r="B34" s="28"/>
      <c r="C34" s="28"/>
      <c r="D34" s="28"/>
      <c r="E34" s="28"/>
      <c r="F34" s="30"/>
      <c r="G34" s="30"/>
      <c r="H34" s="30"/>
      <c r="I34" s="30"/>
      <c r="J34" s="30"/>
      <c r="K34" s="30"/>
      <c r="L34" s="30"/>
      <c r="O34" s="33"/>
      <c r="P34" s="37"/>
      <c r="Q34" s="37"/>
      <c r="R34" s="37"/>
      <c r="S34" s="37"/>
      <c r="T34" s="37"/>
      <c r="U34" s="37"/>
      <c r="V34" s="37"/>
      <c r="W34" s="37"/>
    </row>
    <row r="35" spans="1:23" x14ac:dyDescent="0.2">
      <c r="A35" s="16"/>
      <c r="B35" s="28"/>
      <c r="C35" s="28"/>
      <c r="D35" s="28"/>
      <c r="E35" s="28"/>
      <c r="F35" s="30"/>
      <c r="G35" s="30"/>
      <c r="H35" s="30"/>
      <c r="I35" s="30"/>
      <c r="J35" s="30"/>
      <c r="K35" s="30"/>
      <c r="L35" s="30"/>
      <c r="O35" s="33"/>
      <c r="P35" s="37"/>
      <c r="Q35" s="37"/>
      <c r="R35" s="37"/>
      <c r="S35" s="37"/>
      <c r="T35" s="37"/>
      <c r="U35" s="37"/>
      <c r="V35" s="37"/>
      <c r="W35" s="37"/>
    </row>
    <row r="36" spans="1:23" x14ac:dyDescent="0.2">
      <c r="A36" s="16"/>
      <c r="B36" s="28"/>
      <c r="C36" s="28"/>
      <c r="D36" s="28"/>
      <c r="E36" s="28"/>
      <c r="F36" s="30"/>
      <c r="G36" s="30"/>
      <c r="H36" s="30"/>
      <c r="I36" s="30"/>
      <c r="J36" s="30"/>
      <c r="K36" s="30"/>
      <c r="L36" s="30"/>
      <c r="O36" s="33"/>
      <c r="P36" s="37"/>
      <c r="Q36" s="37"/>
      <c r="R36" s="37"/>
      <c r="S36" s="37"/>
      <c r="T36" s="37"/>
      <c r="U36" s="37"/>
      <c r="V36" s="37"/>
      <c r="W36" s="37"/>
    </row>
    <row r="37" spans="1:23" x14ac:dyDescent="0.2">
      <c r="A37" s="16"/>
      <c r="B37" s="28"/>
      <c r="C37" s="28"/>
      <c r="D37" s="28"/>
      <c r="E37" s="28"/>
      <c r="F37" s="30"/>
      <c r="G37" s="30"/>
      <c r="H37" s="30"/>
      <c r="I37" s="30"/>
      <c r="J37" s="30"/>
      <c r="K37" s="30"/>
      <c r="L37" s="30"/>
      <c r="O37" s="33"/>
      <c r="P37" s="37"/>
      <c r="Q37" s="37"/>
      <c r="R37" s="37"/>
      <c r="S37" s="37"/>
      <c r="T37" s="37"/>
      <c r="U37" s="37"/>
      <c r="V37" s="37"/>
      <c r="W37" s="37"/>
    </row>
    <row r="38" spans="1:23" x14ac:dyDescent="0.2">
      <c r="A38" s="16"/>
      <c r="B38" s="28"/>
      <c r="C38" s="28"/>
      <c r="D38" s="28"/>
      <c r="E38" s="28"/>
      <c r="F38" s="30"/>
      <c r="G38" s="30"/>
      <c r="H38" s="30"/>
      <c r="I38" s="30"/>
      <c r="J38" s="30"/>
      <c r="K38" s="30"/>
      <c r="L38" s="30"/>
      <c r="O38" s="33"/>
      <c r="P38" s="37"/>
      <c r="Q38" s="37"/>
      <c r="R38" s="37"/>
      <c r="S38" s="37"/>
      <c r="T38" s="37"/>
      <c r="U38" s="37"/>
      <c r="V38" s="37"/>
      <c r="W38" s="37"/>
    </row>
    <row r="39" spans="1:23" x14ac:dyDescent="0.2">
      <c r="A39" s="16"/>
      <c r="B39" s="28"/>
      <c r="C39" s="28"/>
      <c r="D39" s="28"/>
      <c r="E39" s="28"/>
      <c r="F39" s="30"/>
      <c r="G39" s="30"/>
      <c r="H39" s="30"/>
      <c r="I39" s="30"/>
      <c r="J39" s="30"/>
      <c r="K39" s="30"/>
      <c r="L39" s="30"/>
      <c r="O39" s="33"/>
      <c r="P39" s="37"/>
      <c r="Q39" s="37"/>
      <c r="R39" s="37"/>
      <c r="S39" s="37"/>
      <c r="T39" s="37"/>
      <c r="U39" s="37"/>
      <c r="V39" s="37"/>
      <c r="W39" s="37"/>
    </row>
    <row r="40" spans="1:23" x14ac:dyDescent="0.2">
      <c r="A40" s="16"/>
      <c r="B40" s="28"/>
      <c r="C40" s="28"/>
      <c r="D40" s="28"/>
      <c r="E40" s="28"/>
      <c r="F40" s="30"/>
      <c r="G40" s="30"/>
      <c r="H40" s="30"/>
      <c r="I40" s="30"/>
      <c r="J40" s="30"/>
      <c r="K40" s="30"/>
      <c r="L40" s="30"/>
      <c r="O40" s="33"/>
      <c r="P40" s="37"/>
      <c r="Q40" s="37"/>
      <c r="R40" s="37"/>
      <c r="S40" s="37"/>
      <c r="T40" s="37"/>
      <c r="U40" s="37"/>
      <c r="V40" s="37"/>
      <c r="W40" s="37"/>
    </row>
    <row r="41" spans="1:23" x14ac:dyDescent="0.2">
      <c r="A41" s="16"/>
      <c r="B41" s="28"/>
      <c r="C41" s="28"/>
      <c r="D41" s="28"/>
      <c r="E41" s="28"/>
      <c r="F41" s="30"/>
      <c r="G41" s="30"/>
      <c r="H41" s="30"/>
      <c r="I41" s="30"/>
      <c r="J41" s="30"/>
      <c r="K41" s="30"/>
      <c r="L41" s="30"/>
      <c r="O41" s="33"/>
      <c r="P41" s="37"/>
      <c r="Q41" s="37"/>
      <c r="R41" s="37"/>
      <c r="S41" s="37"/>
      <c r="T41" s="37"/>
      <c r="U41" s="37"/>
      <c r="V41" s="37"/>
      <c r="W41" s="37"/>
    </row>
    <row r="42" spans="1:23" x14ac:dyDescent="0.2">
      <c r="A42" s="16"/>
      <c r="B42" s="28"/>
      <c r="C42" s="28"/>
      <c r="D42" s="28"/>
      <c r="E42" s="28"/>
      <c r="F42" s="30"/>
      <c r="G42" s="30"/>
      <c r="H42" s="30"/>
      <c r="I42" s="30"/>
      <c r="J42" s="30"/>
      <c r="K42" s="30"/>
      <c r="L42" s="30"/>
      <c r="O42" s="33"/>
      <c r="P42" s="37"/>
      <c r="Q42" s="37"/>
      <c r="R42" s="37"/>
      <c r="S42" s="37"/>
      <c r="T42" s="37"/>
      <c r="U42" s="37"/>
      <c r="V42" s="37"/>
      <c r="W42" s="37"/>
    </row>
    <row r="43" spans="1:23" x14ac:dyDescent="0.2">
      <c r="A43" s="16"/>
      <c r="B43" s="28"/>
      <c r="C43" s="28"/>
      <c r="D43" s="28"/>
      <c r="E43" s="28"/>
      <c r="F43" s="30"/>
      <c r="G43" s="30"/>
      <c r="H43" s="30"/>
      <c r="I43" s="30"/>
      <c r="J43" s="30"/>
      <c r="K43" s="30"/>
      <c r="L43" s="30"/>
      <c r="O43" s="33"/>
      <c r="P43" s="37"/>
      <c r="Q43" s="37"/>
      <c r="R43" s="37"/>
      <c r="S43" s="37"/>
      <c r="T43" s="37"/>
      <c r="U43" s="37"/>
      <c r="V43" s="37"/>
      <c r="W43" s="37"/>
    </row>
    <row r="44" spans="1:23" x14ac:dyDescent="0.2">
      <c r="A44" s="16"/>
      <c r="B44" s="28"/>
      <c r="C44" s="28"/>
      <c r="D44" s="28"/>
      <c r="E44" s="28"/>
      <c r="F44" s="30"/>
      <c r="G44" s="30"/>
      <c r="H44" s="30"/>
      <c r="I44" s="30"/>
      <c r="J44" s="30"/>
      <c r="K44" s="30"/>
      <c r="L44" s="30"/>
      <c r="O44" s="33"/>
      <c r="P44" s="37"/>
      <c r="Q44" s="37"/>
      <c r="R44" s="37"/>
      <c r="S44" s="37"/>
      <c r="T44" s="37"/>
      <c r="U44" s="37"/>
      <c r="V44" s="37"/>
      <c r="W44" s="37"/>
    </row>
    <row r="45" spans="1:23" x14ac:dyDescent="0.2">
      <c r="A45" s="16"/>
      <c r="B45" s="28"/>
      <c r="C45" s="28"/>
      <c r="D45" s="28"/>
      <c r="E45" s="28"/>
      <c r="F45" s="30"/>
      <c r="G45" s="30"/>
      <c r="H45" s="30"/>
      <c r="I45" s="30"/>
      <c r="J45" s="30"/>
      <c r="K45" s="30"/>
      <c r="L45" s="30"/>
      <c r="O45" s="33"/>
      <c r="P45" s="37"/>
      <c r="Q45" s="37"/>
      <c r="R45" s="37"/>
      <c r="S45" s="37"/>
      <c r="T45" s="37"/>
      <c r="U45" s="37"/>
      <c r="V45" s="37"/>
      <c r="W45" s="37"/>
    </row>
    <row r="46" spans="1:23" x14ac:dyDescent="0.2">
      <c r="A46" s="16"/>
      <c r="B46" s="28"/>
      <c r="C46" s="28"/>
      <c r="D46" s="28"/>
      <c r="E46" s="28"/>
      <c r="F46" s="30"/>
      <c r="G46" s="30"/>
      <c r="H46" s="30"/>
      <c r="I46" s="30"/>
      <c r="J46" s="30"/>
      <c r="K46" s="30"/>
      <c r="L46" s="30"/>
      <c r="O46" s="33"/>
      <c r="P46" s="37"/>
      <c r="Q46" s="37"/>
      <c r="R46" s="37"/>
      <c r="S46" s="37"/>
      <c r="T46" s="37"/>
      <c r="U46" s="37"/>
      <c r="V46" s="37"/>
      <c r="W46" s="37"/>
    </row>
    <row r="47" spans="1:23" x14ac:dyDescent="0.2">
      <c r="A47" s="16"/>
      <c r="B47" s="28"/>
      <c r="C47" s="28"/>
      <c r="D47" s="28"/>
      <c r="E47" s="28"/>
      <c r="F47" s="30"/>
      <c r="G47" s="30"/>
      <c r="H47" s="30"/>
      <c r="I47" s="30"/>
      <c r="J47" s="30"/>
      <c r="K47" s="30"/>
      <c r="L47" s="30"/>
      <c r="O47" s="33"/>
      <c r="P47" s="37"/>
      <c r="Q47" s="37"/>
      <c r="R47" s="37"/>
      <c r="S47" s="37"/>
      <c r="T47" s="37"/>
      <c r="U47" s="37"/>
      <c r="V47" s="37"/>
      <c r="W47" s="37"/>
    </row>
    <row r="48" spans="1:23" x14ac:dyDescent="0.2">
      <c r="A48" s="16"/>
      <c r="B48" s="28"/>
      <c r="C48" s="28"/>
      <c r="D48" s="28"/>
      <c r="E48" s="28"/>
      <c r="F48" s="30"/>
      <c r="G48" s="30"/>
      <c r="H48" s="30"/>
      <c r="I48" s="30"/>
      <c r="J48" s="30"/>
      <c r="K48" s="30"/>
      <c r="L48" s="30"/>
      <c r="O48" s="33"/>
      <c r="P48" s="37"/>
      <c r="Q48" s="37"/>
      <c r="R48" s="37"/>
      <c r="S48" s="37"/>
      <c r="T48" s="37"/>
      <c r="U48" s="37"/>
      <c r="V48" s="37"/>
      <c r="W48" s="37"/>
    </row>
    <row r="49" spans="1:23" x14ac:dyDescent="0.2">
      <c r="A49" s="16"/>
      <c r="B49" s="28"/>
      <c r="C49" s="28"/>
      <c r="D49" s="28"/>
      <c r="E49" s="28"/>
      <c r="F49" s="30"/>
      <c r="G49" s="30"/>
      <c r="H49" s="30"/>
      <c r="I49" s="30"/>
      <c r="J49" s="30"/>
      <c r="K49" s="30"/>
      <c r="L49" s="30"/>
      <c r="O49" s="33"/>
      <c r="P49" s="37"/>
      <c r="Q49" s="37"/>
      <c r="R49" s="37"/>
      <c r="S49" s="37"/>
      <c r="T49" s="37"/>
      <c r="U49" s="37"/>
      <c r="V49" s="37"/>
      <c r="W49" s="37"/>
    </row>
    <row r="50" spans="1:23" x14ac:dyDescent="0.2">
      <c r="A50" s="16"/>
      <c r="B50" s="28"/>
      <c r="C50" s="28"/>
      <c r="D50" s="28"/>
      <c r="E50" s="28"/>
      <c r="F50" s="30"/>
      <c r="G50" s="30"/>
      <c r="H50" s="30"/>
      <c r="I50" s="30"/>
      <c r="J50" s="30"/>
      <c r="K50" s="30"/>
      <c r="L50" s="30"/>
      <c r="O50" s="33"/>
      <c r="P50" s="37"/>
      <c r="Q50" s="37"/>
      <c r="R50" s="37"/>
      <c r="S50" s="37"/>
      <c r="T50" s="37"/>
      <c r="U50" s="37"/>
      <c r="V50" s="37"/>
      <c r="W50" s="37"/>
    </row>
    <row r="51" spans="1:23" x14ac:dyDescent="0.2">
      <c r="A51" s="16"/>
      <c r="B51" s="28"/>
      <c r="C51" s="28"/>
      <c r="D51" s="28"/>
      <c r="E51" s="28"/>
      <c r="F51" s="30"/>
      <c r="G51" s="30"/>
      <c r="H51" s="30"/>
      <c r="I51" s="30"/>
      <c r="J51" s="30"/>
      <c r="K51" s="30"/>
      <c r="L51" s="30"/>
      <c r="O51" s="33"/>
      <c r="P51" s="37"/>
      <c r="Q51" s="37"/>
      <c r="R51" s="37"/>
      <c r="S51" s="37"/>
      <c r="T51" s="37"/>
      <c r="U51" s="37"/>
      <c r="V51" s="37"/>
      <c r="W51" s="37"/>
    </row>
    <row r="52" spans="1:23" x14ac:dyDescent="0.2">
      <c r="A52" s="32"/>
      <c r="O52" s="33"/>
      <c r="P52" s="37"/>
      <c r="Q52" s="37"/>
      <c r="R52" s="37"/>
      <c r="S52" s="37"/>
      <c r="T52" s="37"/>
      <c r="U52" s="37"/>
      <c r="V52" s="37"/>
      <c r="W52" s="37"/>
    </row>
    <row r="53" spans="1:23" x14ac:dyDescent="0.2">
      <c r="A53" s="32"/>
      <c r="Q53" s="28"/>
    </row>
    <row r="54" spans="1:23" x14ac:dyDescent="0.2">
      <c r="Q54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3A0F-AC1E-0C4B-8BC0-B66B85E92715}">
  <dimension ref="A1:T51"/>
  <sheetViews>
    <sheetView topLeftCell="A27" zoomScale="113" workbookViewId="0">
      <selection activeCell="C20" sqref="C20"/>
    </sheetView>
  </sheetViews>
  <sheetFormatPr baseColWidth="10" defaultRowHeight="16" x14ac:dyDescent="0.2"/>
  <sheetData>
    <row r="1" spans="1:20" x14ac:dyDescent="0.2">
      <c r="A1" s="10" t="s">
        <v>82</v>
      </c>
      <c r="B1" s="2" t="s">
        <v>18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0</v>
      </c>
    </row>
    <row r="2" spans="1:20" x14ac:dyDescent="0.2">
      <c r="A2" s="10">
        <v>3091.7103579999998</v>
      </c>
      <c r="B2" s="10">
        <v>1.1200000000000001</v>
      </c>
      <c r="C2" s="45">
        <v>3.6299999505600002E-6</v>
      </c>
      <c r="D2" s="45">
        <v>4.0369999808599998E-5</v>
      </c>
      <c r="E2" s="45">
        <v>2.7269999823959999E-5</v>
      </c>
      <c r="F2" s="45">
        <v>5.3199998242700003E-6</v>
      </c>
      <c r="G2" s="45">
        <v>6.0599999568850002E-6</v>
      </c>
      <c r="H2" s="45">
        <v>7.3599999023599997E-6</v>
      </c>
      <c r="I2" s="45">
        <v>0</v>
      </c>
      <c r="J2" s="10">
        <v>2500</v>
      </c>
      <c r="K2" s="1"/>
    </row>
    <row r="3" spans="1:20" x14ac:dyDescent="0.2">
      <c r="A3" s="10">
        <v>3091.7103579999998</v>
      </c>
      <c r="B3" s="10">
        <v>1.1200000000000001</v>
      </c>
      <c r="C3" s="45">
        <v>5.4299999675999993E-6</v>
      </c>
      <c r="D3" s="45">
        <v>5.4449999967999999E-5</v>
      </c>
      <c r="E3" s="45">
        <v>3.6929999839395005E-5</v>
      </c>
      <c r="F3" s="45">
        <v>9.0900001693549994E-6</v>
      </c>
      <c r="G3" s="45">
        <v>7.4800000452100002E-6</v>
      </c>
      <c r="H3" s="45">
        <v>2.7100000222399998E-6</v>
      </c>
      <c r="I3" s="45">
        <v>0</v>
      </c>
      <c r="J3" s="10">
        <v>2500</v>
      </c>
      <c r="K3" s="1"/>
      <c r="N3" s="1"/>
      <c r="O3" s="1"/>
      <c r="P3" s="1"/>
      <c r="Q3" s="1"/>
      <c r="R3" s="1"/>
      <c r="S3" s="1"/>
      <c r="T3" s="1"/>
    </row>
    <row r="4" spans="1:20" x14ac:dyDescent="0.2">
      <c r="A4" s="10">
        <v>6183.420717</v>
      </c>
      <c r="B4" s="10">
        <v>1.1200000000000001</v>
      </c>
      <c r="C4" s="45">
        <v>4.8799999424399996E-6</v>
      </c>
      <c r="D4" s="45">
        <v>5.8910000202409998E-5</v>
      </c>
      <c r="E4" s="45">
        <v>4.2880000101050003E-5</v>
      </c>
      <c r="F4" s="45">
        <v>9.0100001908450003E-6</v>
      </c>
      <c r="G4" s="45">
        <v>5.8099999055349998E-6</v>
      </c>
      <c r="H4" s="45">
        <v>2.6199999310799999E-6</v>
      </c>
      <c r="I4" s="45">
        <v>0</v>
      </c>
      <c r="J4" s="10">
        <v>5000</v>
      </c>
    </row>
    <row r="5" spans="1:20" x14ac:dyDescent="0.2">
      <c r="A5" s="10">
        <v>6183.420717</v>
      </c>
      <c r="B5" s="10">
        <v>1.1200000000000001</v>
      </c>
      <c r="C5" s="45">
        <v>3.4999998335999997E-6</v>
      </c>
      <c r="D5" s="45">
        <v>4.9849999925354997E-5</v>
      </c>
      <c r="E5" s="45">
        <v>2.9599999949690005E-5</v>
      </c>
      <c r="F5" s="45">
        <v>5.8400001023699998E-6</v>
      </c>
      <c r="G5" s="45">
        <v>6.8600001212050009E-6</v>
      </c>
      <c r="H5" s="45">
        <v>1.3999999501599998E-6</v>
      </c>
      <c r="I5" s="45">
        <v>0</v>
      </c>
      <c r="J5" s="10">
        <v>5000</v>
      </c>
    </row>
    <row r="6" spans="1:20" x14ac:dyDescent="0.2">
      <c r="A6" s="10">
        <v>9275.1310749999993</v>
      </c>
      <c r="B6" s="10">
        <v>1.1200000000000001</v>
      </c>
      <c r="C6" s="45">
        <v>1.5300000504E-6</v>
      </c>
      <c r="D6" s="45">
        <v>3.5820000023534999E-5</v>
      </c>
      <c r="E6" s="45">
        <v>2.1280000147875001E-5</v>
      </c>
      <c r="F6" s="45">
        <v>2.100000062565E-6</v>
      </c>
      <c r="G6" s="45">
        <v>7.3300000143999998E-6</v>
      </c>
      <c r="H6" s="45">
        <v>1.0999999304E-7</v>
      </c>
      <c r="I6" s="45">
        <v>0</v>
      </c>
      <c r="J6" s="10">
        <v>7500</v>
      </c>
    </row>
    <row r="7" spans="1:20" x14ac:dyDescent="0.2">
      <c r="A7" s="10">
        <v>9275.1310749999993</v>
      </c>
      <c r="B7" s="10">
        <v>1.1200000000000001</v>
      </c>
      <c r="C7" s="45">
        <v>2.7100001174399995E-6</v>
      </c>
      <c r="D7" s="45">
        <v>4.0640000120544996E-5</v>
      </c>
      <c r="E7" s="45">
        <v>2.2260000019300002E-5</v>
      </c>
      <c r="F7" s="45">
        <v>5.7699998078350005E-6</v>
      </c>
      <c r="G7" s="45">
        <v>1.4130000055499999E-5</v>
      </c>
      <c r="H7" s="45">
        <v>1.46000008196E-6</v>
      </c>
      <c r="I7" s="45">
        <v>0</v>
      </c>
      <c r="J7" s="10">
        <v>7500</v>
      </c>
    </row>
    <row r="8" spans="1:20" x14ac:dyDescent="0.2">
      <c r="A8" s="10">
        <v>12366.84143</v>
      </c>
      <c r="B8" s="10">
        <v>1.1200000000000001</v>
      </c>
      <c r="C8" s="45">
        <v>2.41999996704E-6</v>
      </c>
      <c r="D8" s="45">
        <v>3.7890000063475E-5</v>
      </c>
      <c r="E8" s="45">
        <v>2.4380000038955002E-5</v>
      </c>
      <c r="F8" s="45">
        <v>6.5000001339700001E-6</v>
      </c>
      <c r="G8" s="45">
        <v>1.6299999958970002E-5</v>
      </c>
      <c r="H8" s="45">
        <v>1.5499999600399999E-6</v>
      </c>
      <c r="I8" s="45">
        <v>5.8100000042199989E-6</v>
      </c>
      <c r="J8" s="10">
        <v>10000</v>
      </c>
    </row>
    <row r="9" spans="1:20" x14ac:dyDescent="0.2">
      <c r="A9" s="10">
        <v>12366.84143</v>
      </c>
      <c r="B9" s="10">
        <v>1.1200000000000001</v>
      </c>
      <c r="C9" s="45">
        <v>2.2800001173599997E-6</v>
      </c>
      <c r="D9" s="45">
        <v>3.6070000066449998E-5</v>
      </c>
      <c r="E9" s="45">
        <v>2.6809999823224999E-5</v>
      </c>
      <c r="F9" s="45">
        <v>8.2899999664699994E-6</v>
      </c>
      <c r="G9" s="45">
        <v>2.0329999973360001E-5</v>
      </c>
      <c r="H9" s="45">
        <v>2.1900000163999997E-6</v>
      </c>
      <c r="I9" s="45">
        <v>0</v>
      </c>
      <c r="J9" s="10">
        <v>10000</v>
      </c>
    </row>
    <row r="10" spans="1:20" x14ac:dyDescent="0.2">
      <c r="A10" s="10">
        <v>18550.262149999999</v>
      </c>
      <c r="B10" s="10">
        <v>1.1200000000000001</v>
      </c>
      <c r="C10" s="45">
        <v>3.2399999588399996E-6</v>
      </c>
      <c r="D10" s="45">
        <v>4.8219999994144999E-5</v>
      </c>
      <c r="E10" s="45">
        <v>2.8779999980915005E-5</v>
      </c>
      <c r="F10" s="45">
        <v>1.1420000065689999E-5</v>
      </c>
      <c r="G10" s="45">
        <v>3.6750000092540002E-5</v>
      </c>
      <c r="H10" s="45">
        <v>2.4799999786799998E-6</v>
      </c>
      <c r="I10" s="45">
        <v>0</v>
      </c>
      <c r="J10" s="10">
        <v>15000</v>
      </c>
    </row>
    <row r="11" spans="1:20" x14ac:dyDescent="0.2">
      <c r="A11" s="10">
        <v>18550.262149999999</v>
      </c>
      <c r="B11" s="10">
        <v>1.1200000000000001</v>
      </c>
      <c r="C11" s="45">
        <v>1.5199999585199998E-6</v>
      </c>
      <c r="D11" s="45">
        <v>2.6089999863864999E-5</v>
      </c>
      <c r="E11" s="45">
        <v>1.5400000171015002E-5</v>
      </c>
      <c r="F11" s="45">
        <v>1.2240000054309999E-5</v>
      </c>
      <c r="G11" s="45">
        <v>4.4249999938515001E-5</v>
      </c>
      <c r="H11" s="45">
        <v>2.3900001005999999E-6</v>
      </c>
      <c r="I11" s="45">
        <v>0</v>
      </c>
      <c r="J11" s="10">
        <v>15000</v>
      </c>
    </row>
    <row r="12" spans="1:20" x14ac:dyDescent="0.2">
      <c r="A12" s="10">
        <v>24733.682870000001</v>
      </c>
      <c r="B12" s="10">
        <v>1.1200000000000001</v>
      </c>
      <c r="C12" s="45">
        <v>3.6199998586799995E-6</v>
      </c>
      <c r="D12" s="45">
        <v>4.8410000059959998E-5</v>
      </c>
      <c r="E12" s="45">
        <v>3.0930000122625004E-5</v>
      </c>
      <c r="F12" s="45">
        <v>2.2050000030254998E-5</v>
      </c>
      <c r="G12" s="45">
        <v>6.4879999973495013E-5</v>
      </c>
      <c r="H12" s="45">
        <v>4.1799999486E-6</v>
      </c>
      <c r="I12" s="45">
        <v>0</v>
      </c>
      <c r="J12" s="10">
        <v>20000</v>
      </c>
    </row>
    <row r="13" spans="1:20" x14ac:dyDescent="0.2">
      <c r="A13" s="10">
        <v>24733.682870000001</v>
      </c>
      <c r="B13" s="10">
        <v>1.1200000000000001</v>
      </c>
      <c r="C13" s="45">
        <v>9.1799999432399988E-6</v>
      </c>
      <c r="D13" s="45">
        <v>7.8030000098189994E-5</v>
      </c>
      <c r="E13" s="45">
        <v>5.293999987311001E-5</v>
      </c>
      <c r="F13" s="45">
        <v>3.9420000064320001E-5</v>
      </c>
      <c r="G13" s="45">
        <v>8.9569999893465005E-5</v>
      </c>
      <c r="H13" s="45">
        <v>9.7699999048399985E-6</v>
      </c>
      <c r="I13" s="45">
        <v>0</v>
      </c>
      <c r="J13" s="10">
        <v>20000</v>
      </c>
    </row>
    <row r="14" spans="1:20" x14ac:dyDescent="0.2">
      <c r="A14" s="10">
        <v>30917.103579999999</v>
      </c>
      <c r="B14" s="10">
        <v>1.1200000000000001</v>
      </c>
      <c r="C14" s="45">
        <v>5.9500000762799991E-6</v>
      </c>
      <c r="D14" s="45">
        <v>5.871000000208E-5</v>
      </c>
      <c r="E14" s="45">
        <v>3.7119999864100005E-5</v>
      </c>
      <c r="F14" s="45">
        <v>4.1419999944855004E-5</v>
      </c>
      <c r="G14" s="45">
        <v>9.7270000119425E-5</v>
      </c>
      <c r="H14" s="45">
        <v>9.9100000703199993E-6</v>
      </c>
      <c r="I14" s="45">
        <v>0</v>
      </c>
      <c r="J14" s="10">
        <v>25000</v>
      </c>
    </row>
    <row r="15" spans="1:20" x14ac:dyDescent="0.2">
      <c r="A15" s="10">
        <v>30917.103579999999</v>
      </c>
      <c r="B15" s="10">
        <v>1.1200000000000001</v>
      </c>
      <c r="C15" s="45">
        <v>5.9100000679199994E-6</v>
      </c>
      <c r="D15" s="45">
        <v>4.6449999839704996E-5</v>
      </c>
      <c r="E15" s="45">
        <v>3.0020000161840004E-5</v>
      </c>
      <c r="F15" s="45">
        <v>5.2209999866439997E-5</v>
      </c>
      <c r="G15" s="45">
        <v>1.3551999984225501E-4</v>
      </c>
      <c r="H15" s="45">
        <v>1.2280000055959998E-5</v>
      </c>
      <c r="I15" s="45">
        <v>9.0000015693999989E-7</v>
      </c>
      <c r="J15" s="10">
        <v>25000</v>
      </c>
    </row>
    <row r="16" spans="1:20" x14ac:dyDescent="0.2">
      <c r="A16" s="10">
        <v>37100.524299999997</v>
      </c>
      <c r="B16" s="10">
        <v>1.1200000000000001</v>
      </c>
      <c r="C16" s="45">
        <v>5.1199999925999993E-6</v>
      </c>
      <c r="D16" s="45">
        <v>5.3600000154084999E-5</v>
      </c>
      <c r="E16" s="45">
        <v>3.5520000089290004E-5</v>
      </c>
      <c r="F16" s="45">
        <v>5.5480000136944998E-5</v>
      </c>
      <c r="G16" s="45">
        <v>1.3414000003327E-4</v>
      </c>
      <c r="H16" s="45">
        <v>1.235000003216E-5</v>
      </c>
      <c r="I16" s="45">
        <v>0</v>
      </c>
      <c r="J16" s="10">
        <v>30000</v>
      </c>
    </row>
    <row r="17" spans="1:10" x14ac:dyDescent="0.2">
      <c r="A17" s="10">
        <v>37100.524299999997</v>
      </c>
      <c r="B17" s="10">
        <v>1.1200000000000001</v>
      </c>
      <c r="C17" s="45">
        <v>7.5600001433999993E-6</v>
      </c>
      <c r="D17" s="45">
        <v>4.4930000143175001E-5</v>
      </c>
      <c r="E17" s="45">
        <v>2.9800000015080005E-5</v>
      </c>
      <c r="F17" s="45">
        <v>7.314999988152999E-5</v>
      </c>
      <c r="G17" s="45">
        <v>1.7837999990195002E-4</v>
      </c>
      <c r="H17" s="45">
        <v>1.8140000072599999E-5</v>
      </c>
      <c r="I17" s="45">
        <v>3.3600000257999993E-6</v>
      </c>
      <c r="J17" s="10">
        <v>30000</v>
      </c>
    </row>
    <row r="18" spans="1:10" x14ac:dyDescent="0.2">
      <c r="A18" s="10">
        <v>43283.945019999999</v>
      </c>
      <c r="B18" s="10">
        <v>1.1200000000000001</v>
      </c>
      <c r="C18" s="45">
        <v>5.0299998840000001E-6</v>
      </c>
      <c r="D18" s="45">
        <v>5.1900000111259995E-5</v>
      </c>
      <c r="E18" s="45">
        <v>3.4030000013705004E-5</v>
      </c>
      <c r="F18" s="45">
        <v>7.4860000153304993E-5</v>
      </c>
      <c r="G18" s="45">
        <v>1.7061999993479003E-4</v>
      </c>
      <c r="H18" s="45">
        <v>1.7419999982559997E-5</v>
      </c>
      <c r="I18" s="45">
        <v>6.1000010277999996E-7</v>
      </c>
      <c r="J18" s="10">
        <v>35000</v>
      </c>
    </row>
    <row r="19" spans="1:10" x14ac:dyDescent="0.2">
      <c r="A19" s="10">
        <v>49467.365740000001</v>
      </c>
      <c r="B19" s="10">
        <v>1.1200000000000001</v>
      </c>
      <c r="C19" s="45">
        <v>6.9300001015199986E-6</v>
      </c>
      <c r="D19" s="45">
        <v>4.6479999828254999E-5</v>
      </c>
      <c r="E19" s="45">
        <v>3.1490000156055004E-5</v>
      </c>
      <c r="F19" s="45">
        <v>1.04799999839695E-4</v>
      </c>
      <c r="G19" s="45">
        <v>2.2377000000684002E-4</v>
      </c>
      <c r="H19" s="45">
        <v>2.6620000020319998E-5</v>
      </c>
      <c r="I19" s="45">
        <v>2.7100000381199994E-6</v>
      </c>
      <c r="J19" s="10">
        <v>40000</v>
      </c>
    </row>
    <row r="20" spans="1:10" x14ac:dyDescent="0.2">
      <c r="A20" s="10">
        <v>49467.365740000001</v>
      </c>
      <c r="B20" s="10">
        <v>1.1200000000000001</v>
      </c>
      <c r="C20" s="45">
        <v>1.1970000077399999E-5</v>
      </c>
      <c r="D20" s="45">
        <v>4.7499999853950001E-5</v>
      </c>
      <c r="E20" s="45">
        <v>2.8080000126205004E-5</v>
      </c>
      <c r="F20" s="45">
        <v>1.4708999986418498E-4</v>
      </c>
      <c r="G20" s="45">
        <v>2.9857999985096503E-4</v>
      </c>
      <c r="H20" s="45">
        <v>3.791999998332E-5</v>
      </c>
      <c r="I20" s="45">
        <v>8.2599999826399993E-6</v>
      </c>
      <c r="J20" s="10">
        <v>40000</v>
      </c>
    </row>
    <row r="21" spans="1:10" x14ac:dyDescent="0.2">
      <c r="A21" s="10">
        <v>61834.207170000001</v>
      </c>
      <c r="B21" s="10">
        <v>1.1200000000000001</v>
      </c>
      <c r="C21" s="45">
        <v>1.3279999902239999E-5</v>
      </c>
      <c r="D21" s="45">
        <v>5.7600000010734995E-5</v>
      </c>
      <c r="E21" s="45">
        <v>3.4819999860425005E-5</v>
      </c>
      <c r="F21" s="45">
        <v>1.5352000012140501E-4</v>
      </c>
      <c r="G21" s="45">
        <v>2.7833000009737998E-4</v>
      </c>
      <c r="H21" s="45">
        <v>4.2040000013199996E-5</v>
      </c>
      <c r="I21" s="45">
        <v>1.0239999940140001E-5</v>
      </c>
      <c r="J21" s="10">
        <v>50000</v>
      </c>
    </row>
    <row r="22" spans="1:10" x14ac:dyDescent="0.2">
      <c r="A22" s="10">
        <v>61834.207170000001</v>
      </c>
      <c r="B22" s="10">
        <v>1.1200000000000001</v>
      </c>
      <c r="C22" s="45">
        <v>1.79299998864E-5</v>
      </c>
      <c r="D22" s="45">
        <v>5.0640000177165001E-5</v>
      </c>
      <c r="E22" s="45">
        <v>3.0949999829840005E-5</v>
      </c>
      <c r="F22" s="45">
        <v>1.9630999980269E-4</v>
      </c>
      <c r="G22" s="45">
        <v>3.0032000014058001E-4</v>
      </c>
      <c r="H22" s="45">
        <v>5.4069999910639998E-5</v>
      </c>
      <c r="I22" s="45">
        <v>1.5259999874819999E-5</v>
      </c>
      <c r="J22" s="10">
        <v>50000</v>
      </c>
    </row>
    <row r="23" spans="1:10" x14ac:dyDescent="0.2">
      <c r="A23" s="10">
        <v>74201.048599999995</v>
      </c>
      <c r="B23" s="10">
        <v>1.1200000000000001</v>
      </c>
      <c r="C23" s="45">
        <v>2.3500000062839997E-5</v>
      </c>
      <c r="D23" s="45">
        <v>7.1650000181584992E-5</v>
      </c>
      <c r="E23" s="45">
        <v>5.307000002786001E-5</v>
      </c>
      <c r="F23" s="45">
        <v>2.35119999926425E-4</v>
      </c>
      <c r="G23" s="45">
        <v>3.3775999996816001E-4</v>
      </c>
      <c r="H23" s="45">
        <v>6.9649999970879996E-5</v>
      </c>
      <c r="I23" s="45">
        <v>1.724000015546E-5</v>
      </c>
      <c r="J23" s="10">
        <v>60000</v>
      </c>
    </row>
    <row r="24" spans="1:10" x14ac:dyDescent="0.2">
      <c r="A24" s="10">
        <v>74201.048599999995</v>
      </c>
      <c r="B24" s="10">
        <v>1.1200000000000001</v>
      </c>
      <c r="C24" s="45">
        <v>2.7300000138719998E-5</v>
      </c>
      <c r="D24" s="45">
        <v>5.4659999887849994E-5</v>
      </c>
      <c r="E24" s="45">
        <v>3.8280000093700004E-5</v>
      </c>
      <c r="F24" s="45">
        <v>2.6183999985111004E-4</v>
      </c>
      <c r="G24" s="45">
        <v>3.0254000005432001E-4</v>
      </c>
      <c r="H24" s="45">
        <v>7.6740000025919995E-5</v>
      </c>
      <c r="I24" s="45">
        <v>2.1739999970740001E-5</v>
      </c>
      <c r="J24" s="10">
        <v>60000</v>
      </c>
    </row>
    <row r="25" spans="1:10" x14ac:dyDescent="0.2">
      <c r="A25" s="10">
        <v>86567.890039999998</v>
      </c>
      <c r="B25" s="10">
        <v>1.1200000000000001</v>
      </c>
      <c r="C25" s="45">
        <v>2.5100000038079999E-5</v>
      </c>
      <c r="D25" s="45">
        <v>4.2529999814190002E-5</v>
      </c>
      <c r="E25" s="45">
        <v>2.7720000158165004E-5</v>
      </c>
      <c r="F25" s="45">
        <v>2.5982000018484001E-4</v>
      </c>
      <c r="G25" s="45">
        <v>3.0867999989207503E-4</v>
      </c>
      <c r="H25" s="45">
        <v>7.7490000075319991E-5</v>
      </c>
      <c r="I25" s="45">
        <v>2.3609999840839998E-5</v>
      </c>
      <c r="J25" s="10">
        <v>70000</v>
      </c>
    </row>
    <row r="26" spans="1:10" x14ac:dyDescent="0.2">
      <c r="A26" s="10">
        <v>86567.890039999998</v>
      </c>
      <c r="B26" s="10">
        <v>1.1200000000000001</v>
      </c>
      <c r="C26" s="45">
        <v>3.8259999915239998E-5</v>
      </c>
      <c r="D26" s="45">
        <v>5.2510000016774997E-5</v>
      </c>
      <c r="E26" s="45">
        <v>3.6180000155415004E-5</v>
      </c>
      <c r="F26" s="45">
        <v>3.1980000015743501E-4</v>
      </c>
      <c r="G26" s="45">
        <v>3.1033999996191505E-4</v>
      </c>
      <c r="H26" s="45">
        <v>1.0391000001144E-4</v>
      </c>
      <c r="I26" s="45">
        <v>3.7469999866479993E-5</v>
      </c>
      <c r="J26" s="10">
        <v>70000</v>
      </c>
    </row>
    <row r="27" spans="1:10" x14ac:dyDescent="0.2">
      <c r="A27" s="10">
        <v>98934.731469999999</v>
      </c>
      <c r="B27" s="10">
        <v>1.1200000000000001</v>
      </c>
      <c r="C27" s="45">
        <v>3.4109999855999998E-5</v>
      </c>
      <c r="D27" s="45">
        <v>4.8609999845294999E-5</v>
      </c>
      <c r="E27" s="45">
        <v>3.2750000044195004E-5</v>
      </c>
      <c r="F27" s="45">
        <v>3.1053999992929998E-4</v>
      </c>
      <c r="G27" s="45">
        <v>3.1116999999683504E-4</v>
      </c>
      <c r="H27" s="45">
        <v>9.7789999991880001E-5</v>
      </c>
      <c r="I27" s="45">
        <v>3.2230000080139998E-5</v>
      </c>
      <c r="J27" s="10">
        <v>80000</v>
      </c>
    </row>
    <row r="28" spans="1:10" x14ac:dyDescent="0.2">
      <c r="A28" s="10">
        <v>98934.731469999999</v>
      </c>
      <c r="B28" s="10">
        <v>1.1200000000000001</v>
      </c>
      <c r="C28" s="45">
        <v>5.7499999985639995E-5</v>
      </c>
      <c r="D28" s="45">
        <v>1.08020000133535E-4</v>
      </c>
      <c r="E28" s="45">
        <v>7.2459999969370009E-5</v>
      </c>
      <c r="F28" s="45">
        <v>3.7168000000807502E-4</v>
      </c>
      <c r="G28" s="45">
        <v>3.2172000013037499E-4</v>
      </c>
      <c r="H28" s="45">
        <v>1.3829000010251999E-4</v>
      </c>
      <c r="I28" s="45">
        <v>5.3299999959179993E-5</v>
      </c>
      <c r="J28" s="10">
        <v>80000</v>
      </c>
    </row>
    <row r="29" spans="1:10" x14ac:dyDescent="0.2">
      <c r="A29" s="10">
        <v>111301.5729</v>
      </c>
      <c r="B29" s="10">
        <v>1.1200000000000001</v>
      </c>
      <c r="C29" s="45">
        <v>4.6490000108879991E-5</v>
      </c>
      <c r="D29" s="45">
        <v>5.5929999956459994E-5</v>
      </c>
      <c r="E29" s="45">
        <v>3.7290000181590003E-5</v>
      </c>
      <c r="F29" s="45">
        <v>3.4883000019271998E-4</v>
      </c>
      <c r="G29" s="45">
        <v>3.1186000007078004E-4</v>
      </c>
      <c r="H29" s="45">
        <v>1.2242000007999998E-4</v>
      </c>
      <c r="I29" s="45">
        <v>4.8890000127279997E-5</v>
      </c>
      <c r="J29" s="10">
        <v>90000</v>
      </c>
    </row>
    <row r="30" spans="1:10" x14ac:dyDescent="0.2">
      <c r="A30" s="10">
        <v>111301.5729</v>
      </c>
      <c r="B30" s="10">
        <v>1.1200000000000001</v>
      </c>
      <c r="C30" s="45">
        <v>7.3060000005239998E-5</v>
      </c>
      <c r="D30" s="45">
        <v>1.1523000001002E-4</v>
      </c>
      <c r="E30" s="45">
        <v>7.2429999847315002E-5</v>
      </c>
      <c r="F30" s="45">
        <v>4.0003999991E-4</v>
      </c>
      <c r="G30" s="45">
        <v>3.2264999984693002E-4</v>
      </c>
      <c r="H30" s="45">
        <v>1.6341000002404E-4</v>
      </c>
      <c r="I30" s="45">
        <v>7.1700000008139995E-5</v>
      </c>
      <c r="J30" s="10">
        <v>90000</v>
      </c>
    </row>
    <row r="31" spans="1:10" x14ac:dyDescent="0.2">
      <c r="A31" s="10">
        <v>123668.4143</v>
      </c>
      <c r="B31" s="10">
        <v>1.1200000000000001</v>
      </c>
      <c r="C31" s="45">
        <v>5.4930000077039995E-5</v>
      </c>
      <c r="D31" s="45">
        <v>3.6329999828884999E-5</v>
      </c>
      <c r="E31" s="45">
        <v>2.5559999975770005E-5</v>
      </c>
      <c r="F31" s="45">
        <v>3.6224000003718499E-4</v>
      </c>
      <c r="G31" s="45">
        <v>3.0648000011800503E-4</v>
      </c>
      <c r="H31" s="45">
        <v>1.3947000006659998E-4</v>
      </c>
      <c r="I31" s="45">
        <v>5.8259999904940001E-5</v>
      </c>
      <c r="J31" s="10">
        <v>100000</v>
      </c>
    </row>
    <row r="32" spans="1:10" x14ac:dyDescent="0.2">
      <c r="A32" s="10">
        <v>123668.4143</v>
      </c>
      <c r="B32" s="10">
        <v>1.1200000000000001</v>
      </c>
      <c r="C32" s="45">
        <v>8.8350000058199992E-5</v>
      </c>
      <c r="D32" s="45">
        <v>1.3310000010622E-4</v>
      </c>
      <c r="E32" s="45">
        <v>8.1919999919415008E-5</v>
      </c>
      <c r="F32" s="45">
        <v>3.9522000016031003E-4</v>
      </c>
      <c r="G32" s="45">
        <v>3.1750000014474003E-4</v>
      </c>
      <c r="H32" s="45">
        <v>1.7839000004475999E-4</v>
      </c>
      <c r="I32" s="45">
        <v>7.9010000058499989E-5</v>
      </c>
      <c r="J32" s="10">
        <v>100000</v>
      </c>
    </row>
    <row r="33" spans="1:10" x14ac:dyDescent="0.2">
      <c r="A33" s="10">
        <v>136035.25580000001</v>
      </c>
      <c r="B33" s="10">
        <v>1.1200000000000001</v>
      </c>
      <c r="C33" s="45">
        <v>7.3589999846640001E-5</v>
      </c>
      <c r="D33" s="45">
        <v>6.2510000073394994E-5</v>
      </c>
      <c r="E33" s="45">
        <v>4.6529999984875004E-5</v>
      </c>
      <c r="F33" s="45">
        <v>3.8926000009017499E-4</v>
      </c>
      <c r="G33" s="45">
        <v>3.1852000015090498E-4</v>
      </c>
      <c r="H33" s="45">
        <v>1.6646000008287999E-4</v>
      </c>
      <c r="I33" s="45">
        <v>7.6360000009299996E-5</v>
      </c>
      <c r="J33" s="10">
        <v>110000</v>
      </c>
    </row>
    <row r="34" spans="1:10" x14ac:dyDescent="0.2">
      <c r="A34" s="10">
        <v>136035.25580000001</v>
      </c>
      <c r="B34" s="10">
        <v>1.1200000000000001</v>
      </c>
      <c r="C34" s="45">
        <v>1.0767999987803998E-4</v>
      </c>
      <c r="D34" s="45">
        <v>1.1598000013876499E-4</v>
      </c>
      <c r="E34" s="45">
        <v>7.9509999842360016E-5</v>
      </c>
      <c r="F34" s="45">
        <v>3.9892999989483502E-4</v>
      </c>
      <c r="G34" s="45">
        <v>3.1716999987361501E-4</v>
      </c>
      <c r="H34" s="45">
        <v>1.9416999997611998E-4</v>
      </c>
      <c r="I34" s="45">
        <v>1.0152999988519998E-4</v>
      </c>
      <c r="J34" s="10">
        <v>110000</v>
      </c>
    </row>
    <row r="35" spans="1:10" x14ac:dyDescent="0.2">
      <c r="A35" s="10">
        <v>148402.09719999999</v>
      </c>
      <c r="B35" s="10">
        <v>1.1200000000000001</v>
      </c>
      <c r="C35" s="45">
        <v>8.1470000056919995E-5</v>
      </c>
      <c r="D35" s="45">
        <v>6.7880000098819994E-5</v>
      </c>
      <c r="E35" s="45">
        <v>4.4740000185360003E-5</v>
      </c>
      <c r="F35" s="45">
        <v>3.7264000016797998E-4</v>
      </c>
      <c r="G35" s="45">
        <v>3.0263000000502503E-4</v>
      </c>
      <c r="H35" s="45">
        <v>1.7244999999443998E-4</v>
      </c>
      <c r="I35" s="45">
        <v>8.2969999973499998E-5</v>
      </c>
      <c r="J35" s="10">
        <v>120000</v>
      </c>
    </row>
    <row r="36" spans="1:10" x14ac:dyDescent="0.2">
      <c r="A36" s="10">
        <v>148402.09719999999</v>
      </c>
      <c r="B36" s="10">
        <v>1.1200000000000001</v>
      </c>
      <c r="C36" s="45">
        <v>1.2492999998148E-4</v>
      </c>
      <c r="D36" s="45">
        <v>8.868000018338999E-5</v>
      </c>
      <c r="E36" s="45">
        <v>6.031999996624001E-5</v>
      </c>
      <c r="F36" s="45">
        <v>3.8849000019256999E-4</v>
      </c>
      <c r="G36" s="45">
        <v>3.1633999983869503E-4</v>
      </c>
      <c r="H36" s="45">
        <v>2.0022000001948E-4</v>
      </c>
      <c r="I36" s="45">
        <v>1.1411999992993998E-4</v>
      </c>
      <c r="J36" s="10">
        <v>120000</v>
      </c>
    </row>
    <row r="37" spans="1:10" x14ac:dyDescent="0.2">
      <c r="A37" s="10">
        <v>160768.93859999999</v>
      </c>
      <c r="B37" s="10">
        <v>1.1200000000000001</v>
      </c>
      <c r="C37" s="45">
        <v>9.1459999900080004E-5</v>
      </c>
      <c r="D37" s="45">
        <v>5.7090000205385002E-5</v>
      </c>
      <c r="E37" s="45">
        <v>3.6959999961450004E-5</v>
      </c>
      <c r="F37" s="45">
        <v>3.6032000013516002E-4</v>
      </c>
      <c r="G37" s="45">
        <v>2.9148000008715001E-4</v>
      </c>
      <c r="H37" s="45">
        <v>1.7599000009975999E-4</v>
      </c>
      <c r="I37" s="45">
        <v>9.0849999918599997E-5</v>
      </c>
      <c r="J37" s="10">
        <v>130000</v>
      </c>
    </row>
    <row r="38" spans="1:10" x14ac:dyDescent="0.2">
      <c r="A38" s="10">
        <v>160768.93859999999</v>
      </c>
      <c r="B38" s="10">
        <v>1.1200000000000001</v>
      </c>
      <c r="C38" s="45">
        <v>2.9121999998735996E-4</v>
      </c>
      <c r="D38" s="45">
        <v>9.6499999965389991E-5</v>
      </c>
      <c r="E38" s="45">
        <v>6.1429999992415003E-5</v>
      </c>
      <c r="F38" s="45">
        <v>3.7375000018314495E-4</v>
      </c>
      <c r="G38" s="45">
        <v>2.9803000007690004E-4</v>
      </c>
      <c r="H38" s="45">
        <v>1.9797000008435999E-4</v>
      </c>
      <c r="I38" s="45">
        <v>2.7642999990099996E-4</v>
      </c>
      <c r="J38" s="10">
        <v>130000</v>
      </c>
    </row>
    <row r="39" spans="1:10" x14ac:dyDescent="0.2">
      <c r="A39" s="10">
        <v>185502.62150000001</v>
      </c>
      <c r="B39" s="10">
        <v>1.1200000000000001</v>
      </c>
      <c r="C39" s="45">
        <v>1.3316000017511999E-4</v>
      </c>
      <c r="D39" s="45">
        <v>6.9520000164544998E-5</v>
      </c>
      <c r="E39" s="45">
        <v>4.7000000026295003E-5</v>
      </c>
      <c r="F39" s="45">
        <v>3.9125999997071E-4</v>
      </c>
      <c r="G39" s="45">
        <v>3.1664999997015004E-4</v>
      </c>
      <c r="H39" s="45">
        <v>2.0416000008011999E-4</v>
      </c>
      <c r="I39" s="45">
        <v>1.3343999991671999E-4</v>
      </c>
      <c r="J39" s="10">
        <v>150000</v>
      </c>
    </row>
    <row r="40" spans="1:10" x14ac:dyDescent="0.2">
      <c r="A40" s="10">
        <v>185502.62150000001</v>
      </c>
      <c r="B40" s="10">
        <v>1.1200000000000001</v>
      </c>
      <c r="C40" s="45">
        <v>3.3542999997887996E-4</v>
      </c>
      <c r="D40" s="45">
        <v>8.7010000129115003E-5</v>
      </c>
      <c r="E40" s="45">
        <v>7.5360000169215008E-5</v>
      </c>
      <c r="F40" s="45">
        <v>3.8667000005479003E-4</v>
      </c>
      <c r="G40" s="45">
        <v>3.1172999984073501E-4</v>
      </c>
      <c r="H40" s="45">
        <v>2.0682000002803999E-4</v>
      </c>
      <c r="I40" s="45">
        <v>3.2375000010277996E-4</v>
      </c>
      <c r="J40" s="10">
        <v>150000</v>
      </c>
    </row>
    <row r="41" spans="1:10" x14ac:dyDescent="0.2">
      <c r="A41" s="10">
        <v>210236.30439999999</v>
      </c>
      <c r="B41" s="10">
        <v>1.1200000000000001</v>
      </c>
      <c r="C41" s="45">
        <v>1.4656999983515999E-4</v>
      </c>
      <c r="D41" s="45">
        <v>5.7880000042199996E-5</v>
      </c>
      <c r="E41" s="45">
        <v>3.5330000064585004E-5</v>
      </c>
      <c r="F41" s="45">
        <v>3.4990999990260502E-4</v>
      </c>
      <c r="G41" s="45">
        <v>2.8222000015079503E-4</v>
      </c>
      <c r="H41" s="45">
        <v>1.8817000000707999E-4</v>
      </c>
      <c r="I41" s="45">
        <v>1.5166999988936E-4</v>
      </c>
      <c r="J41" s="10">
        <v>170000</v>
      </c>
    </row>
    <row r="42" spans="1:10" x14ac:dyDescent="0.2">
      <c r="A42" s="10">
        <v>210236.30439999999</v>
      </c>
      <c r="B42" s="10">
        <v>1.1200000000000001</v>
      </c>
      <c r="C42" s="45">
        <v>1.3631000002536E-4</v>
      </c>
      <c r="D42" s="45">
        <v>7.0650000009925E-5</v>
      </c>
      <c r="E42" s="45">
        <v>4.6609999936200004E-5</v>
      </c>
      <c r="F42" s="45">
        <v>3.8368999981082998E-4</v>
      </c>
      <c r="G42" s="45">
        <v>3.0848999992083006E-4</v>
      </c>
      <c r="H42" s="45">
        <v>1.9978000004731999E-4</v>
      </c>
      <c r="I42" s="45">
        <v>1.3708000010623998E-4</v>
      </c>
      <c r="J42" s="10">
        <v>170000</v>
      </c>
    </row>
    <row r="43" spans="1:10" x14ac:dyDescent="0.2">
      <c r="A43" s="10">
        <v>234969.9872</v>
      </c>
      <c r="B43" s="10">
        <v>1.1200000000000001</v>
      </c>
      <c r="C43" s="45">
        <v>1.9166000001059996E-4</v>
      </c>
      <c r="D43" s="45">
        <v>6.7970000064469997E-5</v>
      </c>
      <c r="E43" s="45">
        <v>4.499000008002001E-5</v>
      </c>
      <c r="F43" s="45">
        <v>3.77770000147735E-4</v>
      </c>
      <c r="G43" s="45">
        <v>3.0842000010979504E-4</v>
      </c>
      <c r="H43" s="45">
        <v>2.0249999991396001E-4</v>
      </c>
      <c r="I43" s="45">
        <v>2.0024999985846E-4</v>
      </c>
      <c r="J43" s="10">
        <v>190000</v>
      </c>
    </row>
    <row r="44" spans="1:10" x14ac:dyDescent="0.2">
      <c r="A44" s="10">
        <v>234969.9872</v>
      </c>
      <c r="B44" s="10">
        <v>1.1200000000000001</v>
      </c>
      <c r="C44" s="45">
        <v>1.7651999989919999E-4</v>
      </c>
      <c r="D44" s="45">
        <v>6.0440000033454993E-5</v>
      </c>
      <c r="E44" s="45">
        <v>4.0799999869980005E-5</v>
      </c>
      <c r="F44" s="45">
        <v>3.7745999991767E-4</v>
      </c>
      <c r="G44" s="45">
        <v>3.0236999988383998E-4</v>
      </c>
      <c r="H44" s="45">
        <v>2.0131000010547998E-4</v>
      </c>
      <c r="I44" s="45">
        <v>1.7681999998437999E-4</v>
      </c>
      <c r="J44" s="10">
        <v>190000</v>
      </c>
    </row>
    <row r="45" spans="1:10" x14ac:dyDescent="0.2">
      <c r="A45" s="10">
        <v>259703.67009999999</v>
      </c>
      <c r="B45" s="10">
        <v>1.1200000000000001</v>
      </c>
      <c r="C45" s="45">
        <v>2.4100000008659997E-4</v>
      </c>
      <c r="D45" s="45">
        <v>7.6589999817799998E-5</v>
      </c>
      <c r="E45" s="45">
        <v>6.077999996697501E-5</v>
      </c>
      <c r="F45" s="45">
        <v>3.7687999986458001E-4</v>
      </c>
      <c r="G45" s="45">
        <v>3.0866000009131003E-4</v>
      </c>
      <c r="H45" s="45">
        <v>2.0271999990003999E-4</v>
      </c>
      <c r="I45" s="45">
        <v>2.4479000014275998E-4</v>
      </c>
      <c r="J45" s="10">
        <v>210000</v>
      </c>
    </row>
    <row r="46" spans="1:10" x14ac:dyDescent="0.2">
      <c r="A46" s="10">
        <v>259703.67009999999</v>
      </c>
      <c r="B46" s="10">
        <v>1.1200000000000001</v>
      </c>
      <c r="C46" s="45">
        <v>2.1986000015783997E-4</v>
      </c>
      <c r="D46" s="45">
        <v>6.8519999992885006E-5</v>
      </c>
      <c r="E46" s="45">
        <v>5.217000010776001E-5</v>
      </c>
      <c r="F46" s="45">
        <v>3.7602999998846503E-4</v>
      </c>
      <c r="G46" s="45">
        <v>3.0634000015703004E-4</v>
      </c>
      <c r="H46" s="45">
        <v>1.9997999991843999E-4</v>
      </c>
      <c r="I46" s="45">
        <v>2.2304999984887997E-4</v>
      </c>
      <c r="J46" s="10">
        <v>210000</v>
      </c>
    </row>
    <row r="47" spans="1:10" x14ac:dyDescent="0.2">
      <c r="A47" s="10">
        <v>280108.95850000001</v>
      </c>
      <c r="B47" s="10">
        <v>1.1200000000000001</v>
      </c>
      <c r="C47" s="45">
        <v>2.8787000009531999E-4</v>
      </c>
      <c r="D47" s="45">
        <v>1.3231999998892499E-4</v>
      </c>
      <c r="E47" s="45">
        <v>8.6540000008135008E-5</v>
      </c>
      <c r="F47" s="45">
        <v>3.93339999829755E-4</v>
      </c>
      <c r="G47" s="45">
        <v>3.1595999989620499E-4</v>
      </c>
      <c r="H47" s="45">
        <v>2.0872000008215997E-4</v>
      </c>
      <c r="I47" s="45">
        <v>2.6276999994613999E-4</v>
      </c>
      <c r="J47" s="10">
        <v>226500</v>
      </c>
    </row>
    <row r="48" spans="1:10" x14ac:dyDescent="0.2">
      <c r="A48" s="10">
        <v>284437.353</v>
      </c>
      <c r="B48" s="10">
        <v>1.1200000000000001</v>
      </c>
      <c r="C48" s="45">
        <v>2.5985999989799999E-4</v>
      </c>
      <c r="D48" s="45">
        <v>7.637000017843E-5</v>
      </c>
      <c r="E48" s="45">
        <v>6.0430000039620009E-5</v>
      </c>
      <c r="F48" s="45">
        <v>3.8104000000045501E-4</v>
      </c>
      <c r="G48" s="45">
        <v>3.0501000001941002E-4</v>
      </c>
      <c r="H48" s="45">
        <v>2.0357999994247998E-4</v>
      </c>
      <c r="I48" s="45">
        <v>2.5076999990015998E-4</v>
      </c>
      <c r="J48" s="10">
        <v>230000</v>
      </c>
    </row>
    <row r="49" spans="1:10" x14ac:dyDescent="0.2">
      <c r="A49" s="10">
        <v>293094.14199999999</v>
      </c>
      <c r="B49" s="10">
        <v>1.1200000000000001</v>
      </c>
      <c r="C49" s="45">
        <v>3.0587999999843996E-4</v>
      </c>
      <c r="D49" s="45">
        <v>1.6080000004725997E-4</v>
      </c>
      <c r="E49" s="45">
        <v>1.0458000006949501E-4</v>
      </c>
      <c r="F49" s="45">
        <v>3.98189999884725E-4</v>
      </c>
      <c r="G49" s="45">
        <v>3.2547999995374502E-4</v>
      </c>
      <c r="H49" s="45">
        <v>2.1370999999887998E-4</v>
      </c>
      <c r="I49" s="45">
        <v>2.776999998819E-4</v>
      </c>
      <c r="J49" s="10">
        <v>237000</v>
      </c>
    </row>
    <row r="50" spans="1:10" x14ac:dyDescent="0.2">
      <c r="A50" s="10">
        <v>309171.03580000001</v>
      </c>
      <c r="B50" s="10">
        <v>1.1200000000000001</v>
      </c>
      <c r="C50" s="45">
        <v>3.5137999999019999E-4</v>
      </c>
      <c r="D50" s="45">
        <v>9.0440000203314994E-5</v>
      </c>
      <c r="E50" s="45">
        <v>7.7170000050100001E-5</v>
      </c>
      <c r="F50" s="45">
        <v>3.8409999980513999E-4</v>
      </c>
      <c r="G50" s="45">
        <v>3.1326000001943502E-4</v>
      </c>
      <c r="H50" s="45">
        <v>2.0610999999547998E-4</v>
      </c>
      <c r="I50" s="45">
        <v>3.2614000009227996E-4</v>
      </c>
      <c r="J50" s="10">
        <v>250000</v>
      </c>
    </row>
    <row r="51" spans="1:10" x14ac:dyDescent="0.2">
      <c r="A51" s="33"/>
      <c r="B51" s="33"/>
      <c r="C51" s="34"/>
      <c r="D51" s="34"/>
      <c r="E51" s="34"/>
      <c r="F51" s="34"/>
      <c r="G51" s="34"/>
      <c r="H51" s="34"/>
      <c r="I51" s="34"/>
      <c r="J51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D82F-D1B6-DE43-93D4-95F5D0430C50}">
  <dimension ref="A1:J56"/>
  <sheetViews>
    <sheetView zoomScaleNormal="100" workbookViewId="0">
      <selection activeCell="J8" sqref="J8"/>
    </sheetView>
  </sheetViews>
  <sheetFormatPr baseColWidth="10" defaultRowHeight="16" x14ac:dyDescent="0.2"/>
  <sheetData>
    <row r="1" spans="1:9" x14ac:dyDescent="0.2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</row>
    <row r="2" spans="1:9" x14ac:dyDescent="0.2">
      <c r="A2" s="1">
        <v>0</v>
      </c>
      <c r="B2" s="1">
        <v>1.0106916000000001E-2</v>
      </c>
      <c r="C2" s="1">
        <v>9.7278279999999995E-2</v>
      </c>
      <c r="D2" s="1">
        <v>7.2884231999999993E-2</v>
      </c>
      <c r="E2" s="1">
        <v>1.2733822000000001E-2</v>
      </c>
      <c r="F2" s="1">
        <v>1.7881116999999998E-2</v>
      </c>
      <c r="G2" s="1">
        <v>3.4541017E-2</v>
      </c>
      <c r="H2" s="1">
        <v>0</v>
      </c>
      <c r="I2" s="1">
        <v>2500</v>
      </c>
    </row>
    <row r="3" spans="1:9" x14ac:dyDescent="0.2">
      <c r="A3" s="1">
        <v>3091.7103579999998</v>
      </c>
      <c r="B3" s="1">
        <v>1.5118609999999999E-2</v>
      </c>
      <c r="C3" s="1">
        <v>0.1312064</v>
      </c>
      <c r="D3" s="1">
        <v>9.8702409000000005E-2</v>
      </c>
      <c r="E3" s="1">
        <v>2.1757603E-2</v>
      </c>
      <c r="F3" s="1">
        <v>2.2071081999999999E-2</v>
      </c>
      <c r="G3" s="1">
        <v>1.2718228E-2</v>
      </c>
      <c r="H3" s="1">
        <v>0</v>
      </c>
      <c r="I3" s="1">
        <v>2500</v>
      </c>
    </row>
    <row r="4" spans="1:9" x14ac:dyDescent="0.2">
      <c r="A4" s="1">
        <v>6183.420717</v>
      </c>
      <c r="B4" s="1">
        <v>1.3587259000000001E-2</v>
      </c>
      <c r="C4" s="1">
        <v>0.141953518</v>
      </c>
      <c r="D4" s="1">
        <v>0.11460491</v>
      </c>
      <c r="E4" s="1">
        <v>2.1566116999999999E-2</v>
      </c>
      <c r="F4" s="1">
        <v>1.7143446999999999E-2</v>
      </c>
      <c r="G4" s="1">
        <v>1.2295851E-2</v>
      </c>
      <c r="H4" s="1">
        <v>0</v>
      </c>
      <c r="I4" s="1">
        <v>5000</v>
      </c>
    </row>
    <row r="5" spans="1:9" x14ac:dyDescent="0.2">
      <c r="A5" s="1">
        <v>6183.420717</v>
      </c>
      <c r="B5" s="1">
        <v>9.7449600000000004E-3</v>
      </c>
      <c r="C5" s="1">
        <v>0.120121929</v>
      </c>
      <c r="D5" s="1">
        <v>7.9111598000000005E-2</v>
      </c>
      <c r="E5" s="1">
        <v>1.3978482E-2</v>
      </c>
      <c r="F5" s="1">
        <v>2.0241661000000001E-2</v>
      </c>
      <c r="G5" s="1">
        <v>6.5703020000000001E-3</v>
      </c>
      <c r="H5" s="1">
        <v>0</v>
      </c>
      <c r="I5" s="1">
        <v>5000</v>
      </c>
    </row>
    <row r="6" spans="1:9" x14ac:dyDescent="0.2">
      <c r="A6" s="1">
        <v>9275.1310749999993</v>
      </c>
      <c r="B6" s="1">
        <v>4.2599400000000003E-3</v>
      </c>
      <c r="C6" s="1">
        <v>8.6314293E-2</v>
      </c>
      <c r="D6" s="1">
        <v>5.6874824999999997E-2</v>
      </c>
      <c r="E6" s="1">
        <v>5.0265090000000002E-3</v>
      </c>
      <c r="F6" s="1">
        <v>2.1628479999999999E-2</v>
      </c>
      <c r="G6" s="1">
        <v>5.1623800000000003E-4</v>
      </c>
      <c r="H6" s="1">
        <v>0</v>
      </c>
      <c r="I6" s="1">
        <v>7500</v>
      </c>
    </row>
    <row r="7" spans="1:9" x14ac:dyDescent="0.2">
      <c r="A7" s="1">
        <v>9275.1310749999993</v>
      </c>
      <c r="B7" s="1">
        <v>7.5453839999999996E-3</v>
      </c>
      <c r="C7" s="1">
        <v>9.7928891000000004E-2</v>
      </c>
      <c r="D7" s="1">
        <v>5.9494060000000001E-2</v>
      </c>
      <c r="E7" s="1">
        <v>1.3810931E-2</v>
      </c>
      <c r="F7" s="1">
        <v>4.1693099999999997E-2</v>
      </c>
      <c r="G7" s="1">
        <v>6.8518870000000001E-3</v>
      </c>
      <c r="H7" s="1">
        <v>0</v>
      </c>
      <c r="I7" s="1">
        <v>7500</v>
      </c>
    </row>
    <row r="8" spans="1:9" x14ac:dyDescent="0.2">
      <c r="A8" s="1">
        <v>12366.84143</v>
      </c>
      <c r="B8" s="1">
        <v>6.7379440000000001E-3</v>
      </c>
      <c r="C8" s="1">
        <v>9.1302305E-2</v>
      </c>
      <c r="D8" s="1">
        <v>6.5160160999999994E-2</v>
      </c>
      <c r="E8" s="1">
        <v>1.5558242E-2</v>
      </c>
      <c r="F8" s="1">
        <v>4.8096074000000003E-2</v>
      </c>
      <c r="G8" s="1">
        <v>7.2742630000000004E-3</v>
      </c>
      <c r="H8" s="1">
        <v>1.7979822999999999E-2</v>
      </c>
      <c r="I8" s="1">
        <v>10000</v>
      </c>
    </row>
    <row r="9" spans="1:9" x14ac:dyDescent="0.2">
      <c r="A9" s="1">
        <v>12366.84143</v>
      </c>
      <c r="B9" s="1">
        <v>6.3481459999999998E-3</v>
      </c>
      <c r="C9" s="1">
        <v>8.6916709999999994E-2</v>
      </c>
      <c r="D9" s="1">
        <v>7.1654794999999993E-2</v>
      </c>
      <c r="E9" s="1">
        <v>1.9842742E-2</v>
      </c>
      <c r="F9" s="1">
        <v>5.9987312000000001E-2</v>
      </c>
      <c r="G9" s="1">
        <v>1.027783E-2</v>
      </c>
      <c r="H9" s="1">
        <v>0</v>
      </c>
      <c r="I9" s="1">
        <v>10000</v>
      </c>
    </row>
    <row r="10" spans="1:9" x14ac:dyDescent="0.2">
      <c r="A10" s="1">
        <v>18550.262149999999</v>
      </c>
      <c r="B10" s="1">
        <v>9.0210489999999997E-3</v>
      </c>
      <c r="C10" s="1">
        <v>0.116194171</v>
      </c>
      <c r="D10" s="1">
        <v>7.6919993000000006E-2</v>
      </c>
      <c r="E10" s="1">
        <v>2.7334634E-2</v>
      </c>
      <c r="F10" s="1">
        <v>0.108437468</v>
      </c>
      <c r="G10" s="1">
        <v>1.1638821000000001E-2</v>
      </c>
      <c r="H10" s="1">
        <v>0</v>
      </c>
      <c r="I10" s="1">
        <v>15000</v>
      </c>
    </row>
    <row r="11" spans="1:9" x14ac:dyDescent="0.2">
      <c r="A11" s="1">
        <v>18550.262149999999</v>
      </c>
      <c r="B11" s="1">
        <v>4.2320969999999998E-3</v>
      </c>
      <c r="C11" s="1">
        <v>6.2868226999999999E-2</v>
      </c>
      <c r="D11" s="1">
        <v>4.1159412999999999E-2</v>
      </c>
      <c r="E11" s="1">
        <v>2.9297365999999998E-2</v>
      </c>
      <c r="F11" s="1">
        <v>0.130567563</v>
      </c>
      <c r="G11" s="1">
        <v>1.1216445E-2</v>
      </c>
      <c r="H11" s="1">
        <v>0</v>
      </c>
      <c r="I11" s="1">
        <v>15000</v>
      </c>
    </row>
    <row r="12" spans="1:9" x14ac:dyDescent="0.2">
      <c r="A12" s="1">
        <v>24733.682870000001</v>
      </c>
      <c r="B12" s="1">
        <v>1.0079072999999999E-2</v>
      </c>
      <c r="C12" s="1">
        <v>0.116652008</v>
      </c>
      <c r="D12" s="1">
        <v>8.2666274999999997E-2</v>
      </c>
      <c r="E12" s="1">
        <v>5.2778342999999998E-2</v>
      </c>
      <c r="F12" s="1">
        <v>0.19144007900000001</v>
      </c>
      <c r="G12" s="1">
        <v>1.9617045E-2</v>
      </c>
      <c r="H12" s="1">
        <v>0</v>
      </c>
      <c r="I12" s="1">
        <v>20000</v>
      </c>
    </row>
    <row r="13" spans="1:9" x14ac:dyDescent="0.2">
      <c r="A13" s="1">
        <v>24733.682870000001</v>
      </c>
      <c r="B13" s="1">
        <v>2.5559638999999999E-2</v>
      </c>
      <c r="C13" s="1">
        <v>0.188026362</v>
      </c>
      <c r="D13" s="1">
        <v>0.141492162</v>
      </c>
      <c r="E13" s="1">
        <v>9.4354752E-2</v>
      </c>
      <c r="F13" s="1">
        <v>0.26429235299999998</v>
      </c>
      <c r="G13" s="1">
        <v>4.5851322999999999E-2</v>
      </c>
      <c r="H13" s="1">
        <v>0</v>
      </c>
      <c r="I13" s="1">
        <v>20000</v>
      </c>
    </row>
    <row r="14" spans="1:9" x14ac:dyDescent="0.2">
      <c r="A14" s="1">
        <v>30917.103579999999</v>
      </c>
      <c r="B14" s="1">
        <v>1.6566432999999998E-2</v>
      </c>
      <c r="C14" s="1">
        <v>0.14147158400000001</v>
      </c>
      <c r="D14" s="1">
        <v>9.9210220000000002E-2</v>
      </c>
      <c r="E14" s="1">
        <v>9.9141903000000003E-2</v>
      </c>
      <c r="F14" s="1">
        <v>0.28701258499999999</v>
      </c>
      <c r="G14" s="1">
        <v>4.6508354000000002E-2</v>
      </c>
      <c r="H14" s="1">
        <v>0</v>
      </c>
      <c r="I14" s="1">
        <v>25000</v>
      </c>
    </row>
    <row r="15" spans="1:9" x14ac:dyDescent="0.2">
      <c r="A15" s="1">
        <v>30917.103579999999</v>
      </c>
      <c r="B15" s="1">
        <v>1.6455061999999999E-2</v>
      </c>
      <c r="C15" s="1">
        <v>0.111929059</v>
      </c>
      <c r="D15" s="1">
        <v>8.0234128000000002E-2</v>
      </c>
      <c r="E15" s="1">
        <v>0.12496858399999999</v>
      </c>
      <c r="F15" s="1">
        <v>0.399876071</v>
      </c>
      <c r="G15" s="1">
        <v>5.7630937E-2</v>
      </c>
      <c r="H15" s="1">
        <v>2.7851709999999999E-3</v>
      </c>
      <c r="I15" s="1">
        <v>25000</v>
      </c>
    </row>
    <row r="16" spans="1:9" x14ac:dyDescent="0.2">
      <c r="A16" s="1">
        <v>37100.524299999997</v>
      </c>
      <c r="B16" s="1">
        <v>1.4255485E-2</v>
      </c>
      <c r="C16" s="1">
        <v>0.12915818300000001</v>
      </c>
      <c r="D16" s="1">
        <v>9.4933918000000006E-2</v>
      </c>
      <c r="E16" s="1">
        <v>0.132795577</v>
      </c>
      <c r="F16" s="1">
        <v>0.39580413399999997</v>
      </c>
      <c r="G16" s="1">
        <v>5.7959452000000002E-2</v>
      </c>
      <c r="H16" s="1">
        <v>0</v>
      </c>
      <c r="I16" s="1">
        <v>30000</v>
      </c>
    </row>
    <row r="17" spans="1:9" x14ac:dyDescent="0.2">
      <c r="A17" s="1">
        <v>37100.524299999997</v>
      </c>
      <c r="B17" s="1">
        <v>2.1049115E-2</v>
      </c>
      <c r="C17" s="1">
        <v>0.108266365</v>
      </c>
      <c r="D17" s="1">
        <v>7.9646136000000006E-2</v>
      </c>
      <c r="E17" s="1">
        <v>0.17509005799999999</v>
      </c>
      <c r="F17" s="1">
        <v>0.52634219000000004</v>
      </c>
      <c r="G17" s="1">
        <v>8.5132344999999998E-2</v>
      </c>
      <c r="H17" s="1">
        <v>1.0397969999999999E-2</v>
      </c>
      <c r="I17" s="1">
        <v>30000</v>
      </c>
    </row>
    <row r="18" spans="1:9" x14ac:dyDescent="0.2">
      <c r="A18" s="1">
        <v>43283.945019999999</v>
      </c>
      <c r="B18" s="1">
        <v>1.4004900000000001E-2</v>
      </c>
      <c r="C18" s="1">
        <v>0.125061748</v>
      </c>
      <c r="D18" s="1">
        <v>9.0951611000000002E-2</v>
      </c>
      <c r="E18" s="1">
        <v>0.179183073</v>
      </c>
      <c r="F18" s="1">
        <v>0.50344491800000002</v>
      </c>
      <c r="G18" s="1">
        <v>8.1753331999999998E-2</v>
      </c>
      <c r="H18" s="1">
        <v>1.8877270000000001E-3</v>
      </c>
      <c r="I18" s="1">
        <v>35000</v>
      </c>
    </row>
    <row r="19" spans="1:9" x14ac:dyDescent="0.2">
      <c r="A19" s="1">
        <v>49467.365740000001</v>
      </c>
      <c r="B19" s="1">
        <v>1.9295021999999998E-2</v>
      </c>
      <c r="C19" s="1">
        <v>0.112001349</v>
      </c>
      <c r="D19" s="1">
        <v>8.4162980999999998E-2</v>
      </c>
      <c r="E19" s="1">
        <v>0.25084672699999999</v>
      </c>
      <c r="F19" s="1">
        <v>0.66027352800000005</v>
      </c>
      <c r="G19" s="1">
        <v>0.124929604</v>
      </c>
      <c r="H19" s="1">
        <v>8.3864579999999994E-3</v>
      </c>
      <c r="I19" s="1">
        <v>40000</v>
      </c>
    </row>
    <row r="20" spans="1:9" x14ac:dyDescent="0.2">
      <c r="A20" s="1">
        <v>49467.365740000001</v>
      </c>
      <c r="B20" s="1">
        <v>3.3327765000000002E-2</v>
      </c>
      <c r="C20" s="1">
        <v>0.11445921000000001</v>
      </c>
      <c r="D20" s="1">
        <v>7.5049111000000002E-2</v>
      </c>
      <c r="E20" s="1">
        <v>0.35207104099999997</v>
      </c>
      <c r="F20" s="1">
        <v>0.88101385300000001</v>
      </c>
      <c r="G20" s="1">
        <v>0.177961329</v>
      </c>
      <c r="H20" s="1">
        <v>2.5561675999999998E-2</v>
      </c>
      <c r="I20" s="1">
        <v>40000</v>
      </c>
    </row>
    <row r="21" spans="1:9" x14ac:dyDescent="0.2">
      <c r="A21" s="1">
        <v>61834.207170000001</v>
      </c>
      <c r="B21" s="1">
        <v>3.6975163999999998E-2</v>
      </c>
      <c r="C21" s="1">
        <v>0.138796853</v>
      </c>
      <c r="D21" s="1">
        <v>9.3063035000000002E-2</v>
      </c>
      <c r="E21" s="1">
        <v>0.36746173300000001</v>
      </c>
      <c r="F21" s="1">
        <v>0.82126259599999996</v>
      </c>
      <c r="G21" s="1">
        <v>0.19729679</v>
      </c>
      <c r="H21" s="1">
        <v>3.1689051000000003E-2</v>
      </c>
      <c r="I21" s="1">
        <v>50000</v>
      </c>
    </row>
    <row r="22" spans="1:9" x14ac:dyDescent="0.2">
      <c r="A22" s="1">
        <v>61834.207170000001</v>
      </c>
      <c r="B22" s="1">
        <v>4.9922040000000001E-2</v>
      </c>
      <c r="C22" s="1">
        <v>0.122025567</v>
      </c>
      <c r="D22" s="1">
        <v>8.2719728000000006E-2</v>
      </c>
      <c r="E22" s="1">
        <v>0.46988283400000003</v>
      </c>
      <c r="F22" s="1">
        <v>0.88614803600000003</v>
      </c>
      <c r="G22" s="1">
        <v>0.25375445800000002</v>
      </c>
      <c r="H22" s="1">
        <v>4.7224112999999998E-2</v>
      </c>
      <c r="I22" s="1">
        <v>50000</v>
      </c>
    </row>
    <row r="23" spans="1:9" x14ac:dyDescent="0.2">
      <c r="A23" s="1">
        <v>74201.048599999995</v>
      </c>
      <c r="B23" s="1">
        <v>6.5430449000000002E-2</v>
      </c>
      <c r="C23" s="1">
        <v>0.172652683</v>
      </c>
      <c r="D23" s="1">
        <v>0.141839612</v>
      </c>
      <c r="E23" s="1">
        <v>0.56277750500000001</v>
      </c>
      <c r="F23" s="1">
        <v>0.99662147199999995</v>
      </c>
      <c r="G23" s="1">
        <v>0.32687253599999999</v>
      </c>
      <c r="H23" s="1">
        <v>5.3351489000000002E-2</v>
      </c>
      <c r="I23" s="1">
        <v>60000</v>
      </c>
    </row>
    <row r="24" spans="1:9" x14ac:dyDescent="0.2">
      <c r="A24" s="1">
        <v>74201.048599999995</v>
      </c>
      <c r="B24" s="1">
        <v>7.6010692000000005E-2</v>
      </c>
      <c r="C24" s="1">
        <v>0.13171242999999999</v>
      </c>
      <c r="D24" s="1">
        <v>0.10231054000000001</v>
      </c>
      <c r="E24" s="1">
        <v>0.62673384600000004</v>
      </c>
      <c r="F24" s="1">
        <v>0.89269854400000004</v>
      </c>
      <c r="G24" s="1">
        <v>0.36014642400000002</v>
      </c>
      <c r="H24" s="1">
        <v>6.7277341000000004E-2</v>
      </c>
      <c r="I24" s="1">
        <v>60000</v>
      </c>
    </row>
    <row r="25" spans="1:9" x14ac:dyDescent="0.2">
      <c r="A25" s="1">
        <v>86567.890039999998</v>
      </c>
      <c r="B25" s="1">
        <v>6.9885288000000004E-2</v>
      </c>
      <c r="C25" s="1">
        <v>0.102483162</v>
      </c>
      <c r="D25" s="1">
        <v>7.4086943000000002E-2</v>
      </c>
      <c r="E25" s="1">
        <v>0.62189882399999996</v>
      </c>
      <c r="F25" s="1">
        <v>0.91081571500000003</v>
      </c>
      <c r="G25" s="1">
        <v>0.36366622900000001</v>
      </c>
      <c r="H25" s="1">
        <v>7.3064305999999996E-2</v>
      </c>
      <c r="I25" s="1">
        <v>70000</v>
      </c>
    </row>
    <row r="26" spans="1:9" x14ac:dyDescent="0.2">
      <c r="A26" s="1">
        <v>86567.890039999998</v>
      </c>
      <c r="B26" s="1">
        <v>0.106526339</v>
      </c>
      <c r="C26" s="1">
        <v>0.126531645</v>
      </c>
      <c r="D26" s="1">
        <v>9.6697892999999993E-2</v>
      </c>
      <c r="E26" s="1">
        <v>0.76546549100000005</v>
      </c>
      <c r="F26" s="1">
        <v>0.91571384300000003</v>
      </c>
      <c r="G26" s="1">
        <v>0.487657218</v>
      </c>
      <c r="H26" s="1">
        <v>0.115955932</v>
      </c>
      <c r="I26" s="1">
        <v>70000</v>
      </c>
    </row>
    <row r="27" spans="1:9" x14ac:dyDescent="0.2">
      <c r="A27" s="1">
        <v>98934.731469999999</v>
      </c>
      <c r="B27" s="1">
        <v>9.4971600000000003E-2</v>
      </c>
      <c r="C27" s="1">
        <v>0.11713394100000001</v>
      </c>
      <c r="D27" s="1">
        <v>8.7530569000000003E-2</v>
      </c>
      <c r="E27" s="1">
        <v>0.74330098</v>
      </c>
      <c r="F27" s="1">
        <v>0.91816290700000003</v>
      </c>
      <c r="G27" s="1">
        <v>0.45893561100000002</v>
      </c>
      <c r="H27" s="1">
        <v>9.9740050999999996E-2</v>
      </c>
      <c r="I27" s="1">
        <v>80000</v>
      </c>
    </row>
    <row r="28" spans="1:9" x14ac:dyDescent="0.2">
      <c r="A28" s="1">
        <v>98934.731469999999</v>
      </c>
      <c r="B28" s="1">
        <v>0.16009577899999999</v>
      </c>
      <c r="C28" s="1">
        <v>0.26029229300000001</v>
      </c>
      <c r="D28" s="1">
        <v>0.193663054</v>
      </c>
      <c r="E28" s="1">
        <v>0.88964419500000003</v>
      </c>
      <c r="F28" s="1">
        <v>0.94929257499999997</v>
      </c>
      <c r="G28" s="1">
        <v>0.64900506899999999</v>
      </c>
      <c r="H28" s="1">
        <v>0.16494398699999999</v>
      </c>
      <c r="I28" s="1">
        <v>80000</v>
      </c>
    </row>
    <row r="29" spans="1:9" x14ac:dyDescent="0.2">
      <c r="A29" s="1">
        <v>111301.5729</v>
      </c>
      <c r="B29" s="1">
        <v>0.12944091799999999</v>
      </c>
      <c r="C29" s="1">
        <v>0.13477270799999999</v>
      </c>
      <c r="D29" s="1">
        <v>9.9664578000000004E-2</v>
      </c>
      <c r="E29" s="1">
        <v>0.834950992</v>
      </c>
      <c r="F29" s="1">
        <v>0.92019887600000005</v>
      </c>
      <c r="G29" s="1">
        <v>0.57452599999999998</v>
      </c>
      <c r="H29" s="1">
        <v>0.151296652</v>
      </c>
      <c r="I29" s="1">
        <v>90000</v>
      </c>
    </row>
    <row r="30" spans="1:9" x14ac:dyDescent="0.2">
      <c r="A30" s="1">
        <v>111301.5729</v>
      </c>
      <c r="B30" s="1">
        <v>0.203419089</v>
      </c>
      <c r="C30" s="1">
        <v>0.27766599600000003</v>
      </c>
      <c r="D30" s="1">
        <v>0.19358287299999999</v>
      </c>
      <c r="E30" s="1">
        <v>0.95752599999999999</v>
      </c>
      <c r="F30" s="1">
        <v>0.95203670600000001</v>
      </c>
      <c r="G30" s="1">
        <v>0.76689506299999999</v>
      </c>
      <c r="H30" s="1">
        <v>0.22188525100000001</v>
      </c>
      <c r="I30" s="1">
        <v>90000</v>
      </c>
    </row>
    <row r="31" spans="1:9" x14ac:dyDescent="0.2">
      <c r="A31" s="1">
        <v>123668.4143</v>
      </c>
      <c r="B31" s="1">
        <v>0.152940194</v>
      </c>
      <c r="C31" s="1">
        <v>8.7543223000000003E-2</v>
      </c>
      <c r="D31" s="1">
        <v>6.8313934000000007E-2</v>
      </c>
      <c r="E31" s="1">
        <v>0.86704884100000001</v>
      </c>
      <c r="F31" s="1">
        <v>0.90432422099999998</v>
      </c>
      <c r="G31" s="1">
        <v>0.65454289499999996</v>
      </c>
      <c r="H31" s="1">
        <v>0.18029337100000001</v>
      </c>
      <c r="I31" s="1">
        <v>100000</v>
      </c>
    </row>
    <row r="32" spans="1:9" x14ac:dyDescent="0.2">
      <c r="A32" s="1">
        <v>123668.4143</v>
      </c>
      <c r="B32" s="1">
        <v>0.24599064500000001</v>
      </c>
      <c r="C32" s="1">
        <v>0.320726756</v>
      </c>
      <c r="D32" s="1">
        <v>0.218946693</v>
      </c>
      <c r="E32" s="1">
        <v>0.94598896600000004</v>
      </c>
      <c r="F32" s="1">
        <v>0.93684070799999997</v>
      </c>
      <c r="G32" s="1">
        <v>0.83719729700000001</v>
      </c>
      <c r="H32" s="1">
        <v>0.24450702499999999</v>
      </c>
      <c r="I32" s="1">
        <v>100000</v>
      </c>
    </row>
    <row r="33" spans="1:9" x14ac:dyDescent="0.2">
      <c r="A33" s="1">
        <v>136035.25580000001</v>
      </c>
      <c r="B33" s="1">
        <v>0.20489475400000001</v>
      </c>
      <c r="C33" s="1">
        <v>0.15062832100000001</v>
      </c>
      <c r="D33" s="1">
        <v>0.124360225</v>
      </c>
      <c r="E33" s="1">
        <v>0.93172325499999997</v>
      </c>
      <c r="F33" s="1">
        <v>0.93985040099999995</v>
      </c>
      <c r="G33" s="1">
        <v>0.78120893599999996</v>
      </c>
      <c r="H33" s="1">
        <v>0.236306245</v>
      </c>
      <c r="I33" s="1">
        <v>110000</v>
      </c>
    </row>
    <row r="34" spans="1:9" x14ac:dyDescent="0.2">
      <c r="A34" s="1">
        <v>136035.25580000001</v>
      </c>
      <c r="B34" s="1">
        <v>0.29981066899999997</v>
      </c>
      <c r="C34" s="1">
        <v>0.27947324699999998</v>
      </c>
      <c r="D34" s="1">
        <v>0.21250551200000001</v>
      </c>
      <c r="E34" s="1">
        <v>0.95486913100000004</v>
      </c>
      <c r="F34" s="1">
        <v>0.93586698300000004</v>
      </c>
      <c r="G34" s="1">
        <v>0.91125398899999999</v>
      </c>
      <c r="H34" s="1">
        <v>0.31419817999999999</v>
      </c>
      <c r="I34" s="1">
        <v>110000</v>
      </c>
    </row>
    <row r="35" spans="1:9" x14ac:dyDescent="0.2">
      <c r="A35" s="1">
        <v>148402.09719999999</v>
      </c>
      <c r="B35" s="1">
        <v>0.22683483700000001</v>
      </c>
      <c r="C35" s="1">
        <v>0.16356823600000001</v>
      </c>
      <c r="D35" s="1">
        <v>0.119576112</v>
      </c>
      <c r="E35" s="1">
        <v>0.891942028</v>
      </c>
      <c r="F35" s="1">
        <v>0.89296410500000001</v>
      </c>
      <c r="G35" s="1">
        <v>0.80932044299999994</v>
      </c>
      <c r="H35" s="1">
        <v>0.25676177500000003</v>
      </c>
      <c r="I35" s="1">
        <v>120000</v>
      </c>
    </row>
    <row r="36" spans="1:9" x14ac:dyDescent="0.2">
      <c r="A36" s="1">
        <v>148402.09719999999</v>
      </c>
      <c r="B36" s="1">
        <v>0.34783940299999999</v>
      </c>
      <c r="C36" s="1">
        <v>0.21368932199999999</v>
      </c>
      <c r="D36" s="1">
        <v>0.16121660800000001</v>
      </c>
      <c r="E36" s="1">
        <v>0.92988020199999999</v>
      </c>
      <c r="F36" s="1">
        <v>0.93341791900000004</v>
      </c>
      <c r="G36" s="1">
        <v>0.93964708100000005</v>
      </c>
      <c r="H36" s="1">
        <v>0.35315962099999998</v>
      </c>
      <c r="I36" s="1">
        <v>120000</v>
      </c>
    </row>
    <row r="37" spans="1:9" x14ac:dyDescent="0.2">
      <c r="A37" s="1">
        <v>160768.93859999999</v>
      </c>
      <c r="B37" s="1">
        <v>0.25464973800000001</v>
      </c>
      <c r="C37" s="1">
        <v>0.13756792300000001</v>
      </c>
      <c r="D37" s="1">
        <v>9.8782590000000003E-2</v>
      </c>
      <c r="E37" s="1">
        <v>0.86245317600000004</v>
      </c>
      <c r="F37" s="1">
        <v>0.86006402999999998</v>
      </c>
      <c r="G37" s="1">
        <v>0.82593392200000004</v>
      </c>
      <c r="H37" s="1">
        <v>0.28114749</v>
      </c>
      <c r="I37" s="1">
        <v>130000</v>
      </c>
    </row>
    <row r="38" spans="1:9" x14ac:dyDescent="0.2">
      <c r="A38" s="1">
        <v>160768.93859999999</v>
      </c>
      <c r="B38" s="1">
        <v>0.81083639600000001</v>
      </c>
      <c r="C38" s="1">
        <v>0.232532922</v>
      </c>
      <c r="D38" s="1">
        <v>0.16418329300000001</v>
      </c>
      <c r="E38" s="1">
        <v>0.89459889699999995</v>
      </c>
      <c r="F38" s="1">
        <v>0.87939098000000004</v>
      </c>
      <c r="G38" s="1">
        <v>0.92908766700000001</v>
      </c>
      <c r="H38" s="1">
        <v>0.85544964999999995</v>
      </c>
      <c r="I38" s="1">
        <v>130000</v>
      </c>
    </row>
    <row r="39" spans="1:9" x14ac:dyDescent="0.2">
      <c r="A39" s="1">
        <v>185502.62150000001</v>
      </c>
      <c r="B39" s="1">
        <v>0.37075398199999998</v>
      </c>
      <c r="C39" s="1">
        <v>0.16752009100000001</v>
      </c>
      <c r="D39" s="1">
        <v>0.12561638899999999</v>
      </c>
      <c r="E39" s="1">
        <v>0.93651040600000002</v>
      </c>
      <c r="F39" s="1">
        <v>0.93433263</v>
      </c>
      <c r="G39" s="1">
        <v>0.95813778900000002</v>
      </c>
      <c r="H39" s="1">
        <v>0.41294794800000001</v>
      </c>
      <c r="I39" s="1">
        <v>150000</v>
      </c>
    </row>
    <row r="40" spans="1:9" x14ac:dyDescent="0.2">
      <c r="A40" s="1">
        <v>185502.62150000001</v>
      </c>
      <c r="B40" s="1">
        <v>0.93392916800000003</v>
      </c>
      <c r="C40" s="1">
        <v>0.20966517700000001</v>
      </c>
      <c r="D40" s="1">
        <v>0.201413853</v>
      </c>
      <c r="E40" s="1">
        <v>0.92552389400000001</v>
      </c>
      <c r="F40" s="1">
        <v>0.91981528700000004</v>
      </c>
      <c r="G40" s="1">
        <v>0.97062136300000001</v>
      </c>
      <c r="H40" s="1">
        <v>1.001887727</v>
      </c>
      <c r="I40" s="1">
        <v>150000</v>
      </c>
    </row>
    <row r="41" spans="1:9" x14ac:dyDescent="0.2">
      <c r="A41" s="1">
        <v>210236.30439999999</v>
      </c>
      <c r="B41" s="1">
        <v>0.40809110100000001</v>
      </c>
      <c r="C41" s="1">
        <v>0.13947155999999999</v>
      </c>
      <c r="D41" s="1">
        <v>9.4426106999999995E-2</v>
      </c>
      <c r="E41" s="1">
        <v>0.837536053</v>
      </c>
      <c r="F41" s="1">
        <v>0.83274073900000001</v>
      </c>
      <c r="G41" s="1">
        <v>0.88309555100000003</v>
      </c>
      <c r="H41" s="1">
        <v>0.46936312400000002</v>
      </c>
      <c r="I41" s="1">
        <v>170000</v>
      </c>
    </row>
    <row r="42" spans="1:9" x14ac:dyDescent="0.2">
      <c r="A42" s="1">
        <v>210236.30439999999</v>
      </c>
      <c r="B42" s="1">
        <v>0.37952444600000002</v>
      </c>
      <c r="C42" s="1">
        <v>0.170243015</v>
      </c>
      <c r="D42" s="1">
        <v>0.12457404</v>
      </c>
      <c r="E42" s="1">
        <v>0.91839103799999999</v>
      </c>
      <c r="F42" s="1">
        <v>0.91025508600000005</v>
      </c>
      <c r="G42" s="1">
        <v>0.93758212900000004</v>
      </c>
      <c r="H42" s="1">
        <v>0.42421241599999998</v>
      </c>
      <c r="I42" s="1">
        <v>170000</v>
      </c>
    </row>
    <row r="43" spans="1:9" x14ac:dyDescent="0.2">
      <c r="A43" s="1">
        <v>234969.9872</v>
      </c>
      <c r="B43" s="1">
        <v>0.53363403499999995</v>
      </c>
      <c r="C43" s="1">
        <v>0.16378510600000001</v>
      </c>
      <c r="D43" s="1">
        <v>0.12024428400000001</v>
      </c>
      <c r="E43" s="1">
        <v>0.90422107100000004</v>
      </c>
      <c r="F43" s="1">
        <v>0.91004853900000005</v>
      </c>
      <c r="G43" s="1">
        <v>0.95034728700000004</v>
      </c>
      <c r="H43" s="1">
        <v>0.61970043900000005</v>
      </c>
      <c r="I43" s="1">
        <v>190000</v>
      </c>
    </row>
    <row r="44" spans="1:9" x14ac:dyDescent="0.2">
      <c r="A44" s="1">
        <v>234969.9872</v>
      </c>
      <c r="B44" s="1">
        <v>0.49148012000000002</v>
      </c>
      <c r="C44" s="1">
        <v>0.145640309</v>
      </c>
      <c r="D44" s="1">
        <v>0.109045716</v>
      </c>
      <c r="E44" s="1">
        <v>0.90347906200000005</v>
      </c>
      <c r="F44" s="1">
        <v>0.89219692799999994</v>
      </c>
      <c r="G44" s="1">
        <v>0.94476253099999996</v>
      </c>
      <c r="H44" s="1">
        <v>0.54719316699999998</v>
      </c>
      <c r="I44" s="1">
        <v>190000</v>
      </c>
    </row>
    <row r="45" spans="1:9" x14ac:dyDescent="0.2">
      <c r="A45" s="1">
        <v>259703.67009999999</v>
      </c>
      <c r="B45" s="1">
        <v>0.67101013499999995</v>
      </c>
      <c r="C45" s="1">
        <v>0.18455643999999999</v>
      </c>
      <c r="D45" s="1">
        <v>0.16244604500000001</v>
      </c>
      <c r="E45" s="1">
        <v>0.90209078799999998</v>
      </c>
      <c r="F45" s="1">
        <v>0.91075670200000003</v>
      </c>
      <c r="G45" s="1">
        <v>0.95137976300000004</v>
      </c>
      <c r="H45" s="1">
        <v>0.75753543400000001</v>
      </c>
      <c r="I45" s="1">
        <v>210000</v>
      </c>
    </row>
    <row r="46" spans="1:9" x14ac:dyDescent="0.2">
      <c r="A46" s="1">
        <v>259703.67009999999</v>
      </c>
      <c r="B46" s="1">
        <v>0.61215057399999995</v>
      </c>
      <c r="C46" s="1">
        <v>0.16511042300000001</v>
      </c>
      <c r="D46" s="1">
        <v>0.13943419200000001</v>
      </c>
      <c r="E46" s="1">
        <v>0.90005624900000003</v>
      </c>
      <c r="F46" s="1">
        <v>0.90391112600000001</v>
      </c>
      <c r="G46" s="1">
        <v>0.93852074299999999</v>
      </c>
      <c r="H46" s="1">
        <v>0.69025809199999999</v>
      </c>
      <c r="I46" s="1">
        <v>210000</v>
      </c>
    </row>
    <row r="47" spans="1:9" x14ac:dyDescent="0.2">
      <c r="A47" s="1">
        <v>280108.95850000001</v>
      </c>
      <c r="B47" s="1">
        <v>0.80150907699999996</v>
      </c>
      <c r="C47" s="1">
        <v>0.31884721500000002</v>
      </c>
      <c r="D47" s="1">
        <v>0.23129451700000001</v>
      </c>
      <c r="E47" s="1">
        <v>0.94148904300000003</v>
      </c>
      <c r="F47" s="1">
        <v>0.93229666099999997</v>
      </c>
      <c r="G47" s="1">
        <v>0.97953820199999997</v>
      </c>
      <c r="H47" s="1">
        <v>0.81317695099999998</v>
      </c>
      <c r="I47" s="1">
        <v>226500</v>
      </c>
    </row>
    <row r="48" spans="1:9" x14ac:dyDescent="0.2">
      <c r="A48" s="1">
        <v>284437.353</v>
      </c>
      <c r="B48" s="1">
        <v>0.72352154999999996</v>
      </c>
      <c r="C48" s="1">
        <v>0.184026314</v>
      </c>
      <c r="D48" s="1">
        <v>0.161510604</v>
      </c>
      <c r="E48" s="1">
        <v>0.91204806299999996</v>
      </c>
      <c r="F48" s="1">
        <v>0.89998672199999996</v>
      </c>
      <c r="G48" s="1">
        <v>0.95541580599999998</v>
      </c>
      <c r="H48" s="1">
        <v>0.77604134400000002</v>
      </c>
      <c r="I48" s="1">
        <v>230000</v>
      </c>
    </row>
    <row r="49" spans="1:10" x14ac:dyDescent="0.2">
      <c r="A49" s="1">
        <v>293094.14199999999</v>
      </c>
      <c r="B49" s="1">
        <v>0.85165385900000001</v>
      </c>
      <c r="C49" s="1">
        <v>0.38747454799999997</v>
      </c>
      <c r="D49" s="1">
        <v>0.27950982899999999</v>
      </c>
      <c r="E49" s="1">
        <v>0.95309788500000003</v>
      </c>
      <c r="F49" s="1">
        <v>0.96038712900000001</v>
      </c>
      <c r="G49" s="1">
        <v>1.002956636</v>
      </c>
      <c r="H49" s="1">
        <v>0.85937983500000004</v>
      </c>
      <c r="I49" s="1">
        <v>237000</v>
      </c>
    </row>
    <row r="50" spans="1:10" x14ac:dyDescent="0.2">
      <c r="A50" s="1">
        <v>309171.03580000001</v>
      </c>
      <c r="B50" s="1">
        <v>0.97833834500000005</v>
      </c>
      <c r="C50" s="1">
        <v>0.217930337</v>
      </c>
      <c r="D50" s="1">
        <v>0.20625141999999999</v>
      </c>
      <c r="E50" s="1">
        <v>0.91937240399999998</v>
      </c>
      <c r="F50" s="1">
        <v>0.92432982699999999</v>
      </c>
      <c r="G50" s="1">
        <v>0.967289281</v>
      </c>
      <c r="H50" s="1">
        <v>1.009283902</v>
      </c>
      <c r="I50" s="1">
        <v>250000</v>
      </c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1EF3-0D86-8348-AD5C-52F2E95518A9}">
  <dimension ref="A1:AA49"/>
  <sheetViews>
    <sheetView zoomScale="91"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8.6640625" bestFit="1" customWidth="1"/>
    <col min="3" max="3" width="13.33203125" customWidth="1"/>
    <col min="4" max="4" width="12.1640625" bestFit="1" customWidth="1"/>
    <col min="7" max="7" width="13.1640625" bestFit="1" customWidth="1"/>
    <col min="10" max="10" width="13.83203125" bestFit="1" customWidth="1"/>
  </cols>
  <sheetData>
    <row r="1" spans="1:27" x14ac:dyDescent="0.2">
      <c r="A1" s="3" t="s">
        <v>54</v>
      </c>
      <c r="B1" s="3" t="s">
        <v>72</v>
      </c>
      <c r="C1" s="3" t="s">
        <v>69</v>
      </c>
      <c r="D1" s="3" t="s">
        <v>68</v>
      </c>
      <c r="E1" s="3" t="s">
        <v>62</v>
      </c>
      <c r="F1" s="3" t="s">
        <v>15</v>
      </c>
      <c r="J1" s="3" t="s">
        <v>55</v>
      </c>
      <c r="K1" s="3"/>
      <c r="L1" s="3" t="s">
        <v>64</v>
      </c>
    </row>
    <row r="2" spans="1:27" x14ac:dyDescent="0.2">
      <c r="A2" s="26" t="s">
        <v>18</v>
      </c>
      <c r="B2" s="27">
        <f>(((1+1.5*(1-$K$7))*C2)/$K$2)*(2+0.644*$K$3^0.5*$K$4^(1/3))</f>
        <v>7.1033855308415078E-2</v>
      </c>
      <c r="C2" s="26">
        <f>D2/100</f>
        <v>2.7044785729339622E-7</v>
      </c>
      <c r="D2" s="26">
        <f t="shared" ref="D2:D12" si="0">(0.0001326)/(($K$5)^1.14*(E2)^0.589)</f>
        <v>2.7044785729339621E-5</v>
      </c>
      <c r="E2" s="26">
        <v>18.63</v>
      </c>
      <c r="F2" s="3"/>
      <c r="J2" s="3" t="s">
        <v>56</v>
      </c>
      <c r="K2" s="23">
        <v>6.9999999999999994E-5</v>
      </c>
      <c r="L2" s="3" t="s">
        <v>70</v>
      </c>
    </row>
    <row r="3" spans="1:27" x14ac:dyDescent="0.2">
      <c r="A3" s="26" t="s">
        <v>22</v>
      </c>
      <c r="B3" s="27">
        <f t="shared" ref="B2:B12" si="1">(((1+1.5*(1-$K$7))*C3)/$K$2)*(2+0.644*$K$3^0.5*$K$4^(1/3))</f>
        <v>7.916175021784172E-2</v>
      </c>
      <c r="C3" s="26">
        <f t="shared" ref="C2:C4" si="2">D3/100</f>
        <v>3.0139326709857025E-7</v>
      </c>
      <c r="D3" s="26">
        <f>(0.0001326)/(($K$5)^1.14*(E3)^0.589)</f>
        <v>3.0139326709857024E-5</v>
      </c>
      <c r="E3" s="14">
        <v>15.5</v>
      </c>
      <c r="F3" s="3"/>
      <c r="J3" s="3" t="s">
        <v>57</v>
      </c>
      <c r="K3" s="3">
        <v>0.93</v>
      </c>
      <c r="L3" s="3" t="s">
        <v>74</v>
      </c>
    </row>
    <row r="4" spans="1:27" x14ac:dyDescent="0.2">
      <c r="A4" s="26" t="s">
        <v>23</v>
      </c>
      <c r="B4" s="27">
        <f>(((1+1.5*(1-$K$7))*C4)/$K$2)*(2+0.644*$K$3^0.5*$K$4^(1/3))</f>
        <v>5.0454639132858581E-2</v>
      </c>
      <c r="C4" s="26">
        <f t="shared" si="2"/>
        <v>1.9209641634608893E-7</v>
      </c>
      <c r="D4" s="26">
        <f t="shared" si="0"/>
        <v>1.9209641634608894E-5</v>
      </c>
      <c r="E4" s="14">
        <v>33.299999999999997</v>
      </c>
      <c r="F4" s="3"/>
      <c r="J4" s="3" t="s">
        <v>58</v>
      </c>
      <c r="K4" s="3">
        <v>1785</v>
      </c>
      <c r="L4" s="3" t="s">
        <v>74</v>
      </c>
    </row>
    <row r="5" spans="1:27" x14ac:dyDescent="0.2">
      <c r="A5" s="26" t="s">
        <v>24</v>
      </c>
      <c r="B5" s="27">
        <f t="shared" si="1"/>
        <v>5.1652033094747189E-2</v>
      </c>
      <c r="C5" s="26">
        <f>D5/100</f>
        <v>1.9665526550221043E-7</v>
      </c>
      <c r="D5" s="26">
        <f t="shared" si="0"/>
        <v>1.9665526550221043E-5</v>
      </c>
      <c r="E5" s="14">
        <v>32</v>
      </c>
      <c r="F5" s="3"/>
      <c r="J5" s="3" t="s">
        <v>59</v>
      </c>
      <c r="K5" s="24">
        <v>0.89</v>
      </c>
      <c r="L5" s="3" t="s">
        <v>65</v>
      </c>
    </row>
    <row r="6" spans="1:27" x14ac:dyDescent="0.2">
      <c r="A6" s="14" t="s">
        <v>1</v>
      </c>
      <c r="B6" s="27">
        <f t="shared" si="1"/>
        <v>2.0394609191157882E-2</v>
      </c>
      <c r="C6" s="26">
        <f>D6/100</f>
        <v>7.7648585060417457E-8</v>
      </c>
      <c r="D6" s="26">
        <f t="shared" si="0"/>
        <v>7.764858506041746E-6</v>
      </c>
      <c r="E6" s="26">
        <f>C18</f>
        <v>155</v>
      </c>
      <c r="F6" s="3"/>
      <c r="J6" s="3" t="s">
        <v>60</v>
      </c>
      <c r="K6" s="10">
        <v>1.212920864E-2</v>
      </c>
      <c r="L6" s="3" t="s">
        <v>71</v>
      </c>
    </row>
    <row r="7" spans="1:27" x14ac:dyDescent="0.2">
      <c r="A7" s="14" t="s">
        <v>2</v>
      </c>
      <c r="B7" s="27">
        <f t="shared" si="1"/>
        <v>1.8554049475036211E-2</v>
      </c>
      <c r="C7" s="26">
        <f t="shared" ref="C7:C12" si="3">D7/100</f>
        <v>7.0641004952532216E-8</v>
      </c>
      <c r="D7" s="26">
        <f t="shared" si="0"/>
        <v>7.064100495253221E-6</v>
      </c>
      <c r="E7" s="26">
        <f>C19</f>
        <v>182</v>
      </c>
      <c r="F7" s="3"/>
      <c r="J7" s="3" t="s">
        <v>61</v>
      </c>
      <c r="K7" s="3">
        <v>0.38100000000000001</v>
      </c>
      <c r="L7" s="3" t="s">
        <v>67</v>
      </c>
    </row>
    <row r="8" spans="1:27" x14ac:dyDescent="0.2">
      <c r="A8" s="14" t="s">
        <v>3</v>
      </c>
      <c r="B8" s="27">
        <f t="shared" si="1"/>
        <v>1.8168819206465719E-2</v>
      </c>
      <c r="C8" s="26">
        <f t="shared" si="3"/>
        <v>6.9174314171817876E-8</v>
      </c>
      <c r="D8" s="26">
        <f t="shared" si="0"/>
        <v>6.9174314171817876E-6</v>
      </c>
      <c r="E8" s="25">
        <v>188.6</v>
      </c>
      <c r="F8" s="3"/>
      <c r="J8" s="3" t="s">
        <v>63</v>
      </c>
      <c r="K8" s="3">
        <v>25</v>
      </c>
      <c r="L8" s="3" t="s">
        <v>66</v>
      </c>
    </row>
    <row r="9" spans="1:27" x14ac:dyDescent="0.2">
      <c r="A9" s="14" t="s">
        <v>4</v>
      </c>
      <c r="B9" s="27">
        <f t="shared" si="1"/>
        <v>2.282832704392946E-2</v>
      </c>
      <c r="C9" s="26">
        <f t="shared" si="3"/>
        <v>8.691450165301981E-8</v>
      </c>
      <c r="D9" s="26">
        <f t="shared" si="0"/>
        <v>8.6914501653019809E-6</v>
      </c>
      <c r="E9" s="26">
        <f>C17</f>
        <v>128</v>
      </c>
      <c r="F9" s="3"/>
      <c r="J9" s="10" t="s">
        <v>75</v>
      </c>
      <c r="K9" s="10">
        <v>1</v>
      </c>
      <c r="L9" s="3"/>
    </row>
    <row r="10" spans="1:27" x14ac:dyDescent="0.2">
      <c r="A10" s="14" t="s">
        <v>5</v>
      </c>
      <c r="B10" s="27">
        <f t="shared" si="1"/>
        <v>2.5510302190007245E-2</v>
      </c>
      <c r="C10" s="26">
        <f t="shared" si="3"/>
        <v>9.7125610544992798E-8</v>
      </c>
      <c r="D10" s="26">
        <f t="shared" si="0"/>
        <v>9.7125610544992797E-6</v>
      </c>
      <c r="E10" s="14">
        <v>106</v>
      </c>
      <c r="F10" s="3"/>
      <c r="J10" s="10" t="s">
        <v>76</v>
      </c>
      <c r="K10" s="10">
        <v>1.5</v>
      </c>
      <c r="L10" s="3"/>
      <c r="Y10" s="6"/>
      <c r="Z10" s="6"/>
      <c r="AA10" s="7"/>
    </row>
    <row r="11" spans="1:27" x14ac:dyDescent="0.2">
      <c r="A11" s="14" t="s">
        <v>6</v>
      </c>
      <c r="B11" s="27">
        <f t="shared" si="1"/>
        <v>2.2220612793299517E-2</v>
      </c>
      <c r="C11" s="26">
        <f t="shared" si="3"/>
        <v>8.460074554030521E-8</v>
      </c>
      <c r="D11" s="26">
        <f t="shared" si="0"/>
        <v>8.4600745540305215E-6</v>
      </c>
      <c r="E11" s="14">
        <v>134</v>
      </c>
      <c r="F11" s="3"/>
      <c r="J11" s="10" t="s">
        <v>77</v>
      </c>
      <c r="K11" s="10">
        <v>0.38100000000000001</v>
      </c>
      <c r="L11" s="3"/>
      <c r="Y11" s="8"/>
      <c r="Z11" s="9"/>
      <c r="AA11" s="9"/>
    </row>
    <row r="12" spans="1:27" x14ac:dyDescent="0.2">
      <c r="A12" s="14" t="s">
        <v>7</v>
      </c>
      <c r="B12" s="27">
        <f t="shared" si="1"/>
        <v>1.7815186442197203E-2</v>
      </c>
      <c r="C12" s="26">
        <f t="shared" si="3"/>
        <v>6.7827924862805792E-8</v>
      </c>
      <c r="D12" s="26">
        <f t="shared" si="0"/>
        <v>6.7827924862805785E-6</v>
      </c>
      <c r="E12" s="14">
        <v>195</v>
      </c>
      <c r="F12" s="3"/>
      <c r="J12" s="10" t="s">
        <v>78</v>
      </c>
      <c r="K12" s="10">
        <v>1.05</v>
      </c>
      <c r="L12" s="3"/>
      <c r="Y12" s="8"/>
      <c r="Z12" s="9"/>
      <c r="AA12" s="9"/>
    </row>
    <row r="13" spans="1:27" x14ac:dyDescent="0.2">
      <c r="B13" s="28"/>
      <c r="J13" s="10" t="s">
        <v>79</v>
      </c>
      <c r="K13" s="10">
        <v>1.6962843299999999</v>
      </c>
      <c r="L13" s="3"/>
      <c r="Y13" s="8"/>
      <c r="Z13" s="9"/>
      <c r="AA13" s="9"/>
    </row>
    <row r="14" spans="1:27" x14ac:dyDescent="0.2">
      <c r="Y14" s="8"/>
      <c r="Z14" s="9"/>
      <c r="AA14" s="9"/>
    </row>
    <row r="15" spans="1:27" x14ac:dyDescent="0.2">
      <c r="Y15" s="8"/>
      <c r="Z15" s="9"/>
      <c r="AA15" s="9"/>
    </row>
    <row r="16" spans="1:27" ht="32" x14ac:dyDescent="0.2">
      <c r="A16" s="12" t="s">
        <v>34</v>
      </c>
      <c r="B16" s="12" t="s">
        <v>35</v>
      </c>
      <c r="C16" s="13" t="s">
        <v>36</v>
      </c>
      <c r="Y16" s="8"/>
      <c r="Z16" s="9"/>
      <c r="AA16" s="9"/>
    </row>
    <row r="17" spans="1:27" x14ac:dyDescent="0.2">
      <c r="A17" s="14" t="s">
        <v>4</v>
      </c>
      <c r="B17" s="15">
        <v>214.03899999999999</v>
      </c>
      <c r="C17" s="15">
        <v>128</v>
      </c>
      <c r="Y17" s="8"/>
      <c r="Z17" s="9"/>
      <c r="AA17" s="9"/>
    </row>
    <row r="18" spans="1:27" x14ac:dyDescent="0.2">
      <c r="A18" s="14" t="s">
        <v>1</v>
      </c>
      <c r="B18" s="15">
        <v>264.04700000000003</v>
      </c>
      <c r="C18" s="15">
        <v>155</v>
      </c>
      <c r="Y18" s="8"/>
      <c r="Z18" s="9"/>
      <c r="AA18" s="9"/>
    </row>
    <row r="19" spans="1:27" x14ac:dyDescent="0.2">
      <c r="A19" s="14" t="s">
        <v>2</v>
      </c>
      <c r="B19" s="15">
        <v>313.04700000000003</v>
      </c>
      <c r="C19" s="15">
        <v>182</v>
      </c>
      <c r="Y19" s="8"/>
      <c r="Z19" s="9"/>
      <c r="AA19" s="9"/>
    </row>
    <row r="20" spans="1:27" x14ac:dyDescent="0.2">
      <c r="A20" s="14" t="s">
        <v>31</v>
      </c>
      <c r="B20" s="15">
        <v>364.06200000000001</v>
      </c>
      <c r="C20" s="15">
        <v>210</v>
      </c>
      <c r="Y20" s="8"/>
      <c r="Z20" s="9"/>
      <c r="AA20" s="9"/>
    </row>
    <row r="21" spans="1:27" x14ac:dyDescent="0.2">
      <c r="A21" s="14" t="s">
        <v>25</v>
      </c>
      <c r="B21" s="15">
        <v>414.07</v>
      </c>
      <c r="C21" s="15">
        <v>237</v>
      </c>
      <c r="Y21" s="8"/>
      <c r="Z21" s="9"/>
      <c r="AA21" s="9"/>
    </row>
    <row r="22" spans="1:27" x14ac:dyDescent="0.2">
      <c r="A22" s="14" t="s">
        <v>28</v>
      </c>
      <c r="B22" s="15">
        <v>463.07</v>
      </c>
      <c r="C22" s="15">
        <v>265</v>
      </c>
      <c r="Y22" s="8"/>
      <c r="Z22" s="9"/>
      <c r="AA22" s="9"/>
    </row>
    <row r="23" spans="1:27" x14ac:dyDescent="0.2">
      <c r="A23" s="14" t="s">
        <v>46</v>
      </c>
      <c r="B23" s="15">
        <v>513.07799999999997</v>
      </c>
      <c r="C23" s="15">
        <v>292</v>
      </c>
      <c r="Y23" s="8"/>
      <c r="Z23" s="9"/>
      <c r="AA23" s="9"/>
    </row>
    <row r="24" spans="1:27" x14ac:dyDescent="0.2">
      <c r="A24" s="14" t="s">
        <v>5</v>
      </c>
      <c r="B24" s="15">
        <v>180.03</v>
      </c>
      <c r="C24" s="15">
        <v>106</v>
      </c>
      <c r="Y24" s="8"/>
      <c r="Z24" s="9"/>
      <c r="AA24" s="9"/>
    </row>
    <row r="25" spans="1:27" x14ac:dyDescent="0.2">
      <c r="A25" s="14" t="s">
        <v>6</v>
      </c>
      <c r="B25" s="15">
        <v>230.03800000000001</v>
      </c>
      <c r="C25" s="15">
        <v>134</v>
      </c>
      <c r="Y25" s="8"/>
      <c r="Z25" s="9"/>
      <c r="AA25" s="9"/>
    </row>
    <row r="26" spans="1:27" x14ac:dyDescent="0.2">
      <c r="A26" s="14" t="s">
        <v>32</v>
      </c>
      <c r="B26" s="15">
        <v>330.053</v>
      </c>
      <c r="C26" s="15">
        <v>189</v>
      </c>
      <c r="Y26" s="8"/>
      <c r="Z26" s="9"/>
      <c r="AA26" s="9"/>
    </row>
    <row r="27" spans="1:27" x14ac:dyDescent="0.2">
      <c r="A27" s="14" t="s">
        <v>26</v>
      </c>
      <c r="B27" s="15">
        <v>300.08999999999997</v>
      </c>
      <c r="C27" s="15">
        <v>162</v>
      </c>
      <c r="Y27" s="8"/>
      <c r="Z27" s="9"/>
      <c r="AA27" s="9"/>
    </row>
    <row r="28" spans="1:27" x14ac:dyDescent="0.2">
      <c r="A28" s="14" t="s">
        <v>27</v>
      </c>
      <c r="B28" s="15">
        <v>400.11</v>
      </c>
      <c r="C28" s="15">
        <v>217</v>
      </c>
      <c r="Y28" s="8"/>
      <c r="Z28" s="9"/>
      <c r="AA28" s="9"/>
    </row>
    <row r="29" spans="1:27" x14ac:dyDescent="0.2">
      <c r="A29" s="14" t="s">
        <v>29</v>
      </c>
      <c r="B29" s="15">
        <v>500.13</v>
      </c>
      <c r="C29" s="15">
        <v>272</v>
      </c>
    </row>
    <row r="30" spans="1:27" x14ac:dyDescent="0.2">
      <c r="A30" s="14" t="s">
        <v>50</v>
      </c>
      <c r="B30" s="15">
        <v>327.14</v>
      </c>
      <c r="C30" s="15">
        <v>195</v>
      </c>
    </row>
    <row r="31" spans="1:27" x14ac:dyDescent="0.2">
      <c r="A31" s="14" t="s">
        <v>33</v>
      </c>
      <c r="B31" s="15">
        <v>428.16</v>
      </c>
      <c r="C31" s="15">
        <v>250</v>
      </c>
    </row>
    <row r="32" spans="1:27" x14ac:dyDescent="0.2">
      <c r="A32" s="14" t="s">
        <v>51</v>
      </c>
      <c r="B32" s="15">
        <v>528.17999999999995</v>
      </c>
      <c r="C32" s="15">
        <v>305</v>
      </c>
    </row>
    <row r="33" spans="1:25" x14ac:dyDescent="0.2">
      <c r="A33" s="14" t="s">
        <v>52</v>
      </c>
      <c r="B33" s="15">
        <v>444.12</v>
      </c>
      <c r="C33" s="15">
        <v>240</v>
      </c>
    </row>
    <row r="34" spans="1:25" x14ac:dyDescent="0.2">
      <c r="A34" s="14" t="s">
        <v>53</v>
      </c>
      <c r="B34" s="15">
        <v>464.13</v>
      </c>
      <c r="C34" s="15">
        <v>252</v>
      </c>
    </row>
    <row r="35" spans="1:25" x14ac:dyDescent="0.2">
      <c r="A35" s="17" t="s">
        <v>18</v>
      </c>
      <c r="B35" s="17">
        <v>35.450000000000003</v>
      </c>
      <c r="C35" s="17">
        <v>18.63</v>
      </c>
    </row>
    <row r="36" spans="1:25" x14ac:dyDescent="0.2">
      <c r="A36" s="17" t="s">
        <v>22</v>
      </c>
      <c r="B36" s="17">
        <v>96.06</v>
      </c>
      <c r="C36" s="15">
        <v>15.5</v>
      </c>
    </row>
    <row r="37" spans="1:25" x14ac:dyDescent="0.2">
      <c r="A37" s="17" t="s">
        <v>23</v>
      </c>
      <c r="B37" s="17">
        <v>61.02</v>
      </c>
      <c r="C37" s="15">
        <v>33.299999999999997</v>
      </c>
    </row>
    <row r="38" spans="1:25" x14ac:dyDescent="0.2">
      <c r="A38" s="17" t="s">
        <v>24</v>
      </c>
      <c r="B38" s="17">
        <v>62.01</v>
      </c>
      <c r="C38" s="15">
        <v>32</v>
      </c>
    </row>
    <row r="43" spans="1:25" x14ac:dyDescent="0.2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0"/>
      <c r="Y44" s="18"/>
    </row>
    <row r="45" spans="1:25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x14ac:dyDescent="0.2">
      <c r="A48" s="18"/>
      <c r="B48" s="18"/>
      <c r="C48" s="18"/>
      <c r="D48" s="18"/>
      <c r="E48" s="18"/>
      <c r="F48" s="22"/>
      <c r="G48" s="22"/>
      <c r="H48" s="18"/>
      <c r="I48" s="18"/>
      <c r="J48" s="22"/>
      <c r="K48" s="18"/>
      <c r="L48" s="18"/>
      <c r="M48" s="22"/>
      <c r="N48" s="18"/>
      <c r="O48" s="18"/>
      <c r="P48" s="18"/>
      <c r="Q48" s="18"/>
      <c r="R48" s="22"/>
      <c r="S48" s="18"/>
      <c r="T48" s="18"/>
      <c r="U48" s="18"/>
      <c r="V48" s="18"/>
      <c r="W48" s="18"/>
      <c r="X48" s="18"/>
      <c r="Y48" s="18"/>
    </row>
    <row r="49" spans="1:2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ions</vt:lpstr>
      <vt:lpstr>Cin</vt:lpstr>
      <vt:lpstr>effluent</vt:lpstr>
      <vt:lpstr>PFAS_BrTh</vt:lpstr>
      <vt:lpstr>liquid_phase_film_transfer_dif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2026-01-20T15:26:12Z</dcterms:created>
  <dcterms:modified xsi:type="dcterms:W3CDTF">2026-01-27T22:29:21Z</dcterms:modified>
</cp:coreProperties>
</file>