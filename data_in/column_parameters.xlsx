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guparker_ad_unc_edu/Documents/"/>
    </mc:Choice>
  </mc:AlternateContent>
  <xr:revisionPtr revIDLastSave="16" documentId="8_{CE6C5D02-87CE-45B1-86DE-239969BF04C1}" xr6:coauthVersionLast="47" xr6:coauthVersionMax="47" xr10:uidLastSave="{C8C69F25-0CEE-469B-82E9-C99F02B31936}"/>
  <bookViews>
    <workbookView xWindow="-25320" yWindow="-120" windowWidth="25440" windowHeight="15270" xr2:uid="{6E912BC4-224E-4BF1-9CE4-3C520DC537A8}"/>
  </bookViews>
  <sheets>
    <sheet name="colu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B11" i="1"/>
  <c r="B15" i="1" s="1"/>
  <c r="B17" i="1" s="1"/>
  <c r="B9" i="1"/>
  <c r="B16" i="1" s="1"/>
  <c r="B7" i="1"/>
  <c r="B18" i="1" l="1"/>
  <c r="B19" i="1"/>
  <c r="B20" i="1" s="1"/>
</calcChain>
</file>

<file path=xl/sharedStrings.xml><?xml version="1.0" encoding="utf-8"?>
<sst xmlns="http://schemas.openxmlformats.org/spreadsheetml/2006/main" count="87" uniqueCount="70">
  <si>
    <t>LC</t>
  </si>
  <si>
    <t>PFA694e</t>
  </si>
  <si>
    <t>Units</t>
  </si>
  <si>
    <t>EBCT</t>
  </si>
  <si>
    <t>min</t>
  </si>
  <si>
    <t>Empty Bed Contact Time</t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</si>
  <si>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p</t>
    </r>
  </si>
  <si>
    <t>mm</t>
  </si>
  <si>
    <t>Particle Diameter</t>
  </si>
  <si>
    <t>x</t>
  </si>
  <si>
    <t>unitless</t>
  </si>
  <si>
    <t>Non-Constant Diffusivity Mod</t>
  </si>
  <si>
    <t>SC</t>
  </si>
  <si>
    <r>
      <t>EBCT</t>
    </r>
    <r>
      <rPr>
        <vertAlign val="subscript"/>
        <sz val="11"/>
        <color theme="1"/>
        <rFont val="Aptos Narrow"/>
        <family val="2"/>
        <scheme val="minor"/>
      </rPr>
      <t>sc</t>
    </r>
    <r>
      <rPr>
        <sz val="11"/>
        <color theme="1"/>
        <rFont val="Aptos Narrow"/>
        <family val="2"/>
        <scheme val="minor"/>
      </rPr>
      <t>= EBCT</t>
    </r>
    <r>
      <rPr>
        <vertAlign val="subscript"/>
        <sz val="11"/>
        <color theme="1"/>
        <rFont val="Aptos Narrow"/>
        <family val="2"/>
        <scheme val="minor"/>
      </rPr>
      <t>lc</t>
    </r>
    <r>
      <rPr>
        <sz val="11"/>
        <color theme="1"/>
        <rFont val="Aptos Narrow"/>
        <family val="2"/>
        <scheme val="minor"/>
      </rPr>
      <t>*(d</t>
    </r>
    <r>
      <rPr>
        <vertAlign val="subscript"/>
        <sz val="11"/>
        <color theme="1"/>
        <rFont val="Aptos Narrow"/>
        <family val="2"/>
        <scheme val="minor"/>
      </rPr>
      <t>p,sc</t>
    </r>
    <r>
      <rPr>
        <sz val="11"/>
        <color theme="1"/>
        <rFont val="Aptos Narrow"/>
        <family val="2"/>
        <scheme val="minor"/>
      </rPr>
      <t>/d</t>
    </r>
    <r>
      <rPr>
        <vertAlign val="subscript"/>
        <sz val="11"/>
        <color theme="1"/>
        <rFont val="Aptos Narrow"/>
        <family val="2"/>
        <scheme val="minor"/>
      </rPr>
      <t>p,lc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1"/>
        <color theme="1"/>
        <rFont val="Aptos Narrow"/>
        <family val="2"/>
        <scheme val="minor"/>
      </rPr>
      <t>2-x</t>
    </r>
  </si>
  <si>
    <t>D</t>
  </si>
  <si>
    <r>
      <t>cm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/s</t>
    </r>
  </si>
  <si>
    <t>Diffusivity</t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</si>
  <si>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</si>
  <si>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t>cm</t>
  </si>
  <si>
    <t>Column Diameter</t>
  </si>
  <si>
    <t>A</t>
  </si>
  <si>
    <r>
      <t>cm</t>
    </r>
    <r>
      <rPr>
        <vertAlign val="superscript"/>
        <sz val="11"/>
        <color theme="1"/>
        <rFont val="Aptos Narrow"/>
        <family val="2"/>
        <scheme val="minor"/>
      </rPr>
      <t>2</t>
    </r>
  </si>
  <si>
    <t>Cross-Sectional Area</t>
  </si>
  <si>
    <r>
      <t>PI*(d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>/2)</t>
    </r>
    <r>
      <rPr>
        <vertAlign val="superscript"/>
        <sz val="11"/>
        <color theme="1"/>
        <rFont val="Aptos Narrow"/>
        <family val="2"/>
        <scheme val="minor"/>
      </rPr>
      <t>2</t>
    </r>
  </si>
  <si>
    <t>p</t>
  </si>
  <si>
    <r>
      <t>kg/m</t>
    </r>
    <r>
      <rPr>
        <vertAlign val="superscript"/>
        <sz val="11"/>
        <color theme="1"/>
        <rFont val="Aptos Narrow"/>
        <family val="2"/>
        <scheme val="minor"/>
      </rPr>
      <t>3</t>
    </r>
  </si>
  <si>
    <t>Water Density</t>
  </si>
  <si>
    <t>u</t>
  </si>
  <si>
    <t>kg/(m-s)</t>
  </si>
  <si>
    <t>Water Viscosity</t>
  </si>
  <si>
    <t>V</t>
  </si>
  <si>
    <r>
      <t>cm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/min</t>
    </r>
  </si>
  <si>
    <t>Volumetric Flow Rate</t>
  </si>
  <si>
    <t>HLR</t>
  </si>
  <si>
    <t>cm/min</t>
  </si>
  <si>
    <t>Hydraulic Loading Rate</t>
  </si>
  <si>
    <t>V/A</t>
  </si>
  <si>
    <t>Sc</t>
  </si>
  <si>
    <t>Schmidt Number</t>
  </si>
  <si>
    <t>u/(p*D/10000)</t>
  </si>
  <si>
    <t>Re</t>
  </si>
  <si>
    <t>Reynolds Number</t>
  </si>
  <si>
    <r>
      <t>(p*d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*10^-3*HLR/100/60)/u</t>
    </r>
  </si>
  <si>
    <t>RexSc</t>
  </si>
  <si>
    <t>BV</t>
  </si>
  <si>
    <r>
      <t>cm</t>
    </r>
    <r>
      <rPr>
        <vertAlign val="superscript"/>
        <sz val="11"/>
        <color theme="1"/>
        <rFont val="Aptos Narrow"/>
        <family val="2"/>
        <scheme val="minor"/>
      </rPr>
      <t>3</t>
    </r>
  </si>
  <si>
    <t>Bed Volume</t>
  </si>
  <si>
    <t>EBCT*V</t>
  </si>
  <si>
    <t xml:space="preserve">h </t>
  </si>
  <si>
    <t>Bed Depth</t>
  </si>
  <si>
    <t>BV/A</t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</si>
  <si>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/d</t>
    </r>
    <r>
      <rPr>
        <b/>
        <vertAlign val="subscript"/>
        <sz val="11"/>
        <color theme="1"/>
        <rFont val="Aptos Narrow"/>
        <family val="2"/>
        <scheme val="minor"/>
      </rPr>
      <t>p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</si>
  <si>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>/(d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/10)</t>
    </r>
  </si>
  <si>
    <t>Constraints:</t>
  </si>
  <si>
    <t>RexSc &gt;&gt;</t>
  </si>
  <si>
    <t>Minimize axial dispersion</t>
  </si>
  <si>
    <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>/d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~</t>
    </r>
  </si>
  <si>
    <t>Avoid channeling and wall effects</t>
  </si>
  <si>
    <t>Parameter</t>
  </si>
  <si>
    <t>Unit</t>
  </si>
  <si>
    <t>Average</t>
  </si>
  <si>
    <t>St Dev</t>
  </si>
  <si>
    <t>Particle Size</t>
  </si>
  <si>
    <t>Bed Porosity</t>
  </si>
  <si>
    <t>-</t>
  </si>
  <si>
    <t>Particle Porosity</t>
  </si>
  <si>
    <t>Particle Density</t>
  </si>
  <si>
    <t>g/mL</t>
  </si>
  <si>
    <t>Bed Density</t>
  </si>
  <si>
    <t>Skeleton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</si>
</sst>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1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A012-4B38-4236-94EC-FD98EA64CD44}">
  <dimension ref="A1:J33"/>
  <sheetViews>
    <sheetView tabSelected="1" zoomScale="76" workbookViewId="0">
      <selection activeCell="A35" sqref="A35"/>
    </sheetView>
  </sheetViews>
  <sheetFormatPr defaultColWidth="8.81640625" defaultRowHeight="14.5" x14ac:dyDescent="0.35"/>
  <cols>
    <col min="1" max="1" width="14.7265625" bestFit="1" customWidth="1"/>
    <col min="2" max="2" width="11.81640625" bestFit="1" customWidth="1"/>
    <col min="5" max="5" width="11.81640625" bestFit="1" customWidth="1"/>
    <col min="6" max="6" width="10.453125" customWidth="1"/>
    <col min="10" max="10" width="12.453125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s="2" t="s">
        <v>3</v>
      </c>
      <c r="B2" s="3">
        <v>2</v>
      </c>
      <c r="C2" s="3" t="s">
        <v>4</v>
      </c>
      <c r="D2" t="s">
        <v>5</v>
      </c>
    </row>
    <row r="3" spans="1:6" ht="16.5" x14ac:dyDescent="0.45">
      <c r="A3" s="2" t="s">
        <v>6</v>
      </c>
      <c r="B3" s="3">
        <v>0.67500000000000004</v>
      </c>
      <c r="C3" s="3" t="s">
        <v>7</v>
      </c>
      <c r="D3" t="s">
        <v>8</v>
      </c>
    </row>
    <row r="4" spans="1:6" x14ac:dyDescent="0.35">
      <c r="A4" s="2" t="s">
        <v>9</v>
      </c>
      <c r="B4" s="3">
        <v>0</v>
      </c>
      <c r="C4" s="3" t="s">
        <v>10</v>
      </c>
      <c r="D4" t="s">
        <v>11</v>
      </c>
    </row>
    <row r="5" spans="1:6" x14ac:dyDescent="0.35">
      <c r="A5" s="4"/>
    </row>
    <row r="6" spans="1:6" x14ac:dyDescent="0.35">
      <c r="A6" s="1" t="s">
        <v>12</v>
      </c>
      <c r="B6" s="1" t="s">
        <v>1</v>
      </c>
      <c r="C6" s="1" t="s">
        <v>2</v>
      </c>
    </row>
    <row r="7" spans="1:6" ht="17.5" x14ac:dyDescent="0.45">
      <c r="A7" s="2" t="s">
        <v>3</v>
      </c>
      <c r="B7" s="3">
        <f>B2*(B8/B3)^(2-B4)</f>
        <v>2.0596982167352538E-2</v>
      </c>
      <c r="C7" s="3" t="s">
        <v>4</v>
      </c>
      <c r="D7" t="s">
        <v>5</v>
      </c>
      <c r="F7" t="s">
        <v>13</v>
      </c>
    </row>
    <row r="8" spans="1:6" ht="16.5" x14ac:dyDescent="0.45">
      <c r="A8" s="2" t="s">
        <v>6</v>
      </c>
      <c r="B8" s="3">
        <v>6.8500000000000005E-2</v>
      </c>
      <c r="C8" s="3" t="s">
        <v>7</v>
      </c>
      <c r="D8" t="s">
        <v>8</v>
      </c>
    </row>
    <row r="9" spans="1:6" ht="16.5" x14ac:dyDescent="0.35">
      <c r="A9" s="2" t="s">
        <v>14</v>
      </c>
      <c r="B9" s="3">
        <f t="shared" ref="B9" si="0">5*10^-6</f>
        <v>4.9999999999999996E-6</v>
      </c>
      <c r="C9" s="3" t="s">
        <v>15</v>
      </c>
      <c r="D9" t="s">
        <v>16</v>
      </c>
      <c r="F9" s="5">
        <v>5.0000000000000004E-6</v>
      </c>
    </row>
    <row r="10" spans="1:6" ht="16.5" x14ac:dyDescent="0.45">
      <c r="A10" s="2" t="s">
        <v>17</v>
      </c>
      <c r="B10" s="3">
        <v>0.318</v>
      </c>
      <c r="C10" s="3" t="s">
        <v>18</v>
      </c>
      <c r="D10" t="s">
        <v>19</v>
      </c>
    </row>
    <row r="11" spans="1:6" ht="17.5" x14ac:dyDescent="0.45">
      <c r="A11" s="2" t="s">
        <v>20</v>
      </c>
      <c r="B11" s="3">
        <f>PI()*($B$10/2)^2</f>
        <v>7.9422603875403563E-2</v>
      </c>
      <c r="C11" s="3" t="s">
        <v>21</v>
      </c>
      <c r="D11" t="s">
        <v>22</v>
      </c>
      <c r="F11" t="s">
        <v>23</v>
      </c>
    </row>
    <row r="12" spans="1:6" ht="16.5" x14ac:dyDescent="0.35">
      <c r="A12" s="2" t="s">
        <v>24</v>
      </c>
      <c r="B12" s="3">
        <v>997</v>
      </c>
      <c r="C12" s="3" t="s">
        <v>25</v>
      </c>
      <c r="D12" t="s">
        <v>26</v>
      </c>
    </row>
    <row r="13" spans="1:6" x14ac:dyDescent="0.35">
      <c r="A13" s="2" t="s">
        <v>27</v>
      </c>
      <c r="B13" s="3">
        <v>8.8999999999999995E-4</v>
      </c>
      <c r="C13" s="3" t="s">
        <v>28</v>
      </c>
      <c r="D13" t="s">
        <v>29</v>
      </c>
    </row>
    <row r="14" spans="1:6" ht="16.5" x14ac:dyDescent="0.35">
      <c r="A14" s="2" t="s">
        <v>30</v>
      </c>
      <c r="B14" s="3">
        <v>5.78</v>
      </c>
      <c r="C14" s="3" t="s">
        <v>31</v>
      </c>
      <c r="D14" t="s">
        <v>32</v>
      </c>
    </row>
    <row r="15" spans="1:6" x14ac:dyDescent="0.35">
      <c r="A15" s="2" t="s">
        <v>33</v>
      </c>
      <c r="B15" s="3">
        <f t="shared" ref="B15" si="1">B14/B11</f>
        <v>72.775251854843958</v>
      </c>
      <c r="C15" s="3" t="s">
        <v>34</v>
      </c>
      <c r="D15" t="s">
        <v>35</v>
      </c>
      <c r="F15" t="s">
        <v>36</v>
      </c>
    </row>
    <row r="16" spans="1:6" x14ac:dyDescent="0.35">
      <c r="A16" s="2" t="s">
        <v>37</v>
      </c>
      <c r="B16" s="3">
        <f>B13/(B12*B9/10000)</f>
        <v>1785.3560682046138</v>
      </c>
      <c r="C16" s="3" t="s">
        <v>10</v>
      </c>
      <c r="D16" t="s">
        <v>38</v>
      </c>
      <c r="F16" t="s">
        <v>39</v>
      </c>
    </row>
    <row r="17" spans="1:10" ht="16.5" x14ac:dyDescent="0.45">
      <c r="A17" s="2" t="s">
        <v>40</v>
      </c>
      <c r="B17" s="3">
        <f>B12*B8*10^-3*B15/100/60/B13</f>
        <v>0.93073959509375281</v>
      </c>
      <c r="C17" s="3" t="s">
        <v>10</v>
      </c>
      <c r="D17" t="s">
        <v>41</v>
      </c>
      <c r="F17" t="s">
        <v>42</v>
      </c>
      <c r="J17" s="5"/>
    </row>
    <row r="18" spans="1:10" x14ac:dyDescent="0.35">
      <c r="A18" s="2" t="s">
        <v>43</v>
      </c>
      <c r="B18" s="3">
        <f>B16*B17</f>
        <v>1661.7015840189367</v>
      </c>
      <c r="C18" s="3" t="s">
        <v>10</v>
      </c>
    </row>
    <row r="19" spans="1:10" ht="16.5" x14ac:dyDescent="0.35">
      <c r="A19" s="2" t="s">
        <v>44</v>
      </c>
      <c r="B19" s="3">
        <f>B7*B14</f>
        <v>0.11905055692729767</v>
      </c>
      <c r="C19" s="3" t="s">
        <v>45</v>
      </c>
      <c r="D19" t="s">
        <v>46</v>
      </c>
      <c r="F19" t="s">
        <v>47</v>
      </c>
    </row>
    <row r="20" spans="1:10" x14ac:dyDescent="0.35">
      <c r="A20" s="2" t="s">
        <v>48</v>
      </c>
      <c r="B20" s="3">
        <f>B19/B11</f>
        <v>1.4989505646788106</v>
      </c>
      <c r="C20" s="3" t="s">
        <v>18</v>
      </c>
      <c r="D20" t="s">
        <v>49</v>
      </c>
      <c r="F20" t="s">
        <v>50</v>
      </c>
    </row>
    <row r="21" spans="1:10" ht="16.5" x14ac:dyDescent="0.45">
      <c r="A21" s="2" t="s">
        <v>51</v>
      </c>
      <c r="B21" s="3">
        <f>B10/(B8/10)</f>
        <v>46.423357664233578</v>
      </c>
      <c r="C21" s="3" t="s">
        <v>10</v>
      </c>
      <c r="F21" t="s">
        <v>52</v>
      </c>
    </row>
    <row r="23" spans="1:10" x14ac:dyDescent="0.35">
      <c r="A23" t="s">
        <v>53</v>
      </c>
    </row>
    <row r="24" spans="1:10" x14ac:dyDescent="0.35">
      <c r="A24" t="s">
        <v>54</v>
      </c>
      <c r="B24">
        <v>200</v>
      </c>
      <c r="C24" t="s">
        <v>55</v>
      </c>
    </row>
    <row r="25" spans="1:10" ht="16.5" x14ac:dyDescent="0.45">
      <c r="A25" t="s">
        <v>56</v>
      </c>
      <c r="B25">
        <v>50</v>
      </c>
      <c r="C25" t="s">
        <v>57</v>
      </c>
    </row>
    <row r="27" spans="1:10" x14ac:dyDescent="0.35">
      <c r="A27" t="s">
        <v>58</v>
      </c>
      <c r="B27" t="s">
        <v>59</v>
      </c>
      <c r="C27" t="s">
        <v>60</v>
      </c>
      <c r="D27" t="s">
        <v>61</v>
      </c>
    </row>
    <row r="28" spans="1:10" x14ac:dyDescent="0.35">
      <c r="A28" t="s">
        <v>62</v>
      </c>
      <c r="B28" t="s">
        <v>7</v>
      </c>
      <c r="C28">
        <v>0.80900000000000005</v>
      </c>
      <c r="D28">
        <v>3.0000000000000001E-3</v>
      </c>
    </row>
    <row r="29" spans="1:10" x14ac:dyDescent="0.35">
      <c r="A29" t="s">
        <v>63</v>
      </c>
      <c r="B29" t="s">
        <v>64</v>
      </c>
      <c r="C29">
        <v>0.40799999999999997</v>
      </c>
      <c r="D29">
        <v>4.0000000000000001E-3</v>
      </c>
    </row>
    <row r="30" spans="1:10" x14ac:dyDescent="0.35">
      <c r="A30" t="s">
        <v>65</v>
      </c>
      <c r="B30" t="s">
        <v>64</v>
      </c>
      <c r="C30">
        <v>0.41899999999999998</v>
      </c>
      <c r="D30">
        <v>0.01</v>
      </c>
    </row>
    <row r="31" spans="1:10" x14ac:dyDescent="0.35">
      <c r="A31" t="s">
        <v>66</v>
      </c>
      <c r="B31" t="s">
        <v>67</v>
      </c>
      <c r="C31">
        <v>0.6</v>
      </c>
      <c r="D31">
        <v>4.0000000000000001E-3</v>
      </c>
    </row>
    <row r="32" spans="1:10" x14ac:dyDescent="0.35">
      <c r="A32" t="s">
        <v>68</v>
      </c>
      <c r="B32" t="s">
        <v>67</v>
      </c>
      <c r="C32">
        <v>0.35499999999999998</v>
      </c>
      <c r="D32">
        <v>1E-3</v>
      </c>
    </row>
    <row r="33" spans="1:4" x14ac:dyDescent="0.35">
      <c r="A33" t="s">
        <v>69</v>
      </c>
      <c r="B33" t="s">
        <v>67</v>
      </c>
      <c r="C33">
        <v>1.0329999999999999</v>
      </c>
      <c r="D33">
        <v>1.2999999999999999E-2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Graham Ulysses</dc:creator>
  <cp:lastModifiedBy>Parker, Graham Ulysses</cp:lastModifiedBy>
  <dcterms:created xsi:type="dcterms:W3CDTF">2026-05-07T20:37:02Z</dcterms:created>
  <dcterms:modified xsi:type="dcterms:W3CDTF">2026-05-07T20:44:36Z</dcterms:modified>
</cp:coreProperties>
</file>