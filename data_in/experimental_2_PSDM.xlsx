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project &amp; material/IX/PSDM/"/>
    </mc:Choice>
  </mc:AlternateContent>
  <xr:revisionPtr revIDLastSave="0" documentId="13_ncr:1_{63808C13-5123-4244-88FB-A0EE80733D4E}" xr6:coauthVersionLast="47" xr6:coauthVersionMax="47" xr10:uidLastSave="{00000000-0000-0000-0000-000000000000}"/>
  <bookViews>
    <workbookView xWindow="0" yWindow="0" windowWidth="28800" windowHeight="18000" activeTab="2" xr2:uid="{317BF3F6-A68C-4964-9BC3-AEDC7E3058F4}"/>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3" i="4"/>
  <c r="D12" i="7"/>
  <c r="C12" i="7" s="1"/>
  <c r="B12" i="7" s="1"/>
  <c r="D11" i="7"/>
  <c r="C11" i="7" s="1"/>
  <c r="B11" i="7" s="1"/>
  <c r="D10" i="7"/>
  <c r="C10" i="7" s="1"/>
  <c r="B10" i="7" s="1"/>
  <c r="E9" i="7"/>
  <c r="D9" i="7" s="1"/>
  <c r="C9" i="7" s="1"/>
  <c r="B9" i="7" s="1"/>
  <c r="D8" i="7"/>
  <c r="C8" i="7" s="1"/>
  <c r="B8" i="7" s="1"/>
  <c r="E7" i="7"/>
  <c r="D7" i="7" s="1"/>
  <c r="C7" i="7" s="1"/>
  <c r="B7" i="7" s="1"/>
  <c r="E6" i="7"/>
  <c r="D6" i="7"/>
  <c r="C6" i="7" s="1"/>
  <c r="B6" i="7" s="1"/>
  <c r="D5" i="7"/>
  <c r="C5" i="7" s="1"/>
  <c r="B5" i="7" s="1"/>
  <c r="D4" i="7"/>
  <c r="C4" i="7"/>
  <c r="B4" i="7"/>
  <c r="D3" i="7"/>
  <c r="C3" i="7"/>
  <c r="B3" i="7"/>
  <c r="D2" i="7"/>
  <c r="C2" i="7" s="1"/>
  <c r="B2" i="7" s="1"/>
  <c r="Y3" i="1" l="1"/>
  <c r="X3" i="1"/>
  <c r="W3" i="1"/>
  <c r="V3" i="1"/>
  <c r="U3" i="1"/>
  <c r="S3" i="1"/>
  <c r="R3" i="1"/>
  <c r="O3" i="1"/>
  <c r="N3" i="1"/>
  <c r="M3" i="1"/>
  <c r="L3" i="1"/>
  <c r="J3" i="1"/>
  <c r="G3" i="1"/>
  <c r="D3" i="1"/>
  <c r="C3" i="1"/>
  <c r="B3" i="1"/>
</calcChain>
</file>

<file path=xl/sharedStrings.xml><?xml version="1.0" encoding="utf-8"?>
<sst xmlns="http://schemas.openxmlformats.org/spreadsheetml/2006/main" count="1049" uniqueCount="109">
  <si>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</si>
  <si>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</si>
  <si>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</si>
  <si>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</si>
  <si>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</si>
  <si>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</si>
  <si>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</si>
  <si>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</si>
  <si>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</si>
  <si>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</si>
  <si>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</si>
  <si>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</si>
  <si>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</si>
  <si>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</si>
  <si>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</si>
  <si>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</si>
  <si>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</si>
  <si>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</si>
  <si>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</si>
  <si>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</si>
  <si>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</si>
  <si>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</si>
  <si>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</si>
  <si>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</si>
  <si>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</si>
  <si>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</si>
  <si>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</si>
  <si>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</si>
  <si>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</si>
  <si>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</si>
  <si>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</si>
  <si>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</si>
  <si>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</si>
  <si>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</si>
  <si>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</si>
  <si>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</si>
  <si>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</si>
  <si>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</si>
  <si>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</si>
  <si>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</si>
  <si>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</si>
  <si>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</si>
  <si>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</si>
  <si>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</si>
  <si>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</si>
  <si>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</si>
  <si>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</si>
  <si>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</si>
  <si>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</si>
  <si>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</si>
  <si>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</si>
  <si>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</si>
  <si>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</si>
  <si>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</si>
  <si>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</si>
  <si>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</si>
  <si>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</si>
  <si>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</si>
  <si>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</si>
  <si>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</si>
  <si>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</si>
  <si>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</si>
  <si>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</si>
  <si>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</si>
  <si>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</si>
  <si>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</si>
  <si>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</si>
  <si>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</si>
  <si>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</si>
  <si>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</si>
  <si>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</si>
  <si>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</si>
  <si>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</si>
  <si>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</si>
  <si>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</si>
  <si>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Ds</t>
  </si>
  <si>
    <t>constants</t>
  </si>
  <si>
    <t>unit</t>
  </si>
  <si>
    <t>CHLORIDE</t>
  </si>
  <si>
    <t>dp</t>
  </si>
  <si>
    <t>m</t>
  </si>
  <si>
    <t>SULFATE</t>
  </si>
  <si>
    <t>Re</t>
  </si>
  <si>
    <t>unitless</t>
  </si>
  <si>
    <t>BICARBONATE</t>
  </si>
  <si>
    <t>Sc</t>
  </si>
  <si>
    <t>NITRATE</t>
  </si>
  <si>
    <t>u</t>
  </si>
  <si>
    <t>cP</t>
  </si>
  <si>
    <t>vf</t>
  </si>
  <si>
    <t>m/s</t>
  </si>
  <si>
    <t>porosity €</t>
  </si>
  <si>
    <t xml:space="preserve">non </t>
  </si>
  <si>
    <t>temp</t>
  </si>
  <si>
    <t>C deg</t>
  </si>
  <si>
    <t>n =</t>
  </si>
  <si>
    <t xml:space="preserve">shape factor = </t>
  </si>
  <si>
    <t>bed porosity</t>
  </si>
  <si>
    <t>4:2 FTS</t>
  </si>
  <si>
    <t>density</t>
  </si>
  <si>
    <t>apparent density</t>
  </si>
  <si>
    <t>Compound</t>
  </si>
  <si>
    <t>MolarMass (g/mol)</t>
  </si>
  <si>
    <t>MolarVolume (cm3/mol)</t>
  </si>
  <si>
    <t>HFPO-DA</t>
  </si>
  <si>
    <t>NFB1</t>
  </si>
  <si>
    <t>NFB2</t>
  </si>
  <si>
    <t>kf (cm/s)</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</si>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</sst>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2">
    <xf numFmtId="0" fontId="0" fillId="0" borderId="0"/>
    <xf numFmtId="43" fontId="6"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11" fontId="11" fillId="0" borderId="1" xfId="1" applyNumberFormat="1" applyFont="1" applyBorder="1" applyAlignment="1">
      <alignment horizontal="center"/>
    </xf>
    <xf numFmtId="11" fontId="11" fillId="0" borderId="1" xfId="0" applyNumberFormat="1" applyFont="1" applyBorder="1"/>
    <xf numFmtId="0" fontId="11" fillId="0" borderId="1" xfId="0" applyFont="1" applyBorder="1"/>
    <xf numFmtId="11" fontId="0" fillId="0" borderId="1" xfId="0" applyNumberFormat="1" applyBorder="1"/>
    <xf numFmtId="11" fontId="2" fillId="0" borderId="1" xfId="0" applyNumberFormat="1" applyFont="1" applyBorder="1"/>
    <xf numFmtId="11" fontId="12" fillId="0" borderId="1" xfId="0" applyNumberFormat="1" applyFont="1" applyBorder="1"/>
    <xf numFmtId="2" fontId="11" fillId="0" borderId="1" xfId="1" applyNumberFormat="1" applyFont="1" applyBorder="1" applyAlignment="1">
      <alignment horizontal="center"/>
    </xf>
    <xf numFmtId="11" fontId="0" fillId="0" borderId="1" xfId="1" applyNumberFormat="1" applyFont="1" applyBorder="1" applyAlignment="1">
      <alignment horizontal="center"/>
    </xf>
    <xf numFmtId="0" fontId="2" fillId="0" borderId="0" xfId="0" applyFont="1" applyAlignment="1">
      <alignment horizontal="center" vertical="center"/>
    </xf>
    <xf numFmtId="0" fontId="6" fillId="0" borderId="1" xfId="0" applyFont="1" applyBorder="1" applyAlignment="1">
      <alignment horizontal="center" vertical="center"/>
    </xf>
    <xf numFmtId="11" fontId="6"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3" fillId="0" borderId="1" xfId="0" applyFont="1" applyBorder="1"/>
    <xf numFmtId="0" fontId="7" fillId="0" borderId="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11" fontId="0" fillId="0" borderId="0" xfId="0" applyNumberFormat="1"/>
    <xf numFmtId="0" fontId="11" fillId="0" borderId="1" xfId="0" applyFont="1" applyBorder="1" applyAlignment="1">
      <alignment horizontal="center" vertical="center" wrapText="1"/>
    </xf>
    <xf numFmtId="0" fontId="11" fillId="0" borderId="1" xfId="0" applyFont="1" applyBorder="1" applyAlignment="1">
      <alignment horizontal="center" wrapText="1"/>
    </xf>
    <xf numFmtId="0" fontId="11" fillId="0" borderId="1" xfId="0" applyFont="1" applyBorder="1" applyAlignment="1">
      <alignment horizontal="center"/>
    </xf>
    <xf numFmtId="0" fontId="0" fillId="0" borderId="1" xfId="0" applyBorder="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xf numFmtId="0" fontId="2"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804881</xdr:colOff>
      <xdr:row>0</xdr:row>
      <xdr:rowOff>0</xdr:rowOff>
    </xdr:from>
    <xdr:to>
      <xdr:col>19</xdr:col>
      <xdr:colOff>423333</xdr:colOff>
      <xdr:row>25</xdr:row>
      <xdr:rowOff>97385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09381" y="0"/>
          <a:ext cx="5396952" cy="4580485"/>
        </a:xfrm>
        <a:prstGeom prst="rect">
          <a:avLst/>
        </a:prstGeom>
      </xdr:spPr>
    </xdr:pic>
    <xdr:clientData/>
  </xdr:twoCellAnchor>
  <xdr:twoCellAnchor editAs="oneCell">
    <xdr:from>
      <xdr:col>12</xdr:col>
      <xdr:colOff>591214</xdr:colOff>
      <xdr:row>22</xdr:row>
      <xdr:rowOff>53879</xdr:rowOff>
    </xdr:from>
    <xdr:to>
      <xdr:col>19</xdr:col>
      <xdr:colOff>728134</xdr:colOff>
      <xdr:row>26</xdr:row>
      <xdr:rowOff>11410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95714" y="4727479"/>
          <a:ext cx="5915420" cy="68143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42"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42" t="s">
        <v>50</v>
      </c>
    </row>
    <row r="2" spans="1:27" x14ac:dyDescent="0.2">
      <c r="A2" s="42" t="s">
        <v>0</v>
      </c>
      <c r="B2" s="42">
        <v>330.05</v>
      </c>
      <c r="C2" s="42">
        <v>464.13</v>
      </c>
      <c r="D2" s="42">
        <v>214.03899999999999</v>
      </c>
      <c r="E2" s="42">
        <v>300.10000000000002</v>
      </c>
      <c r="F2" s="42">
        <v>514.08600000000001</v>
      </c>
      <c r="G2" s="42">
        <v>364.06200000000001</v>
      </c>
      <c r="H2" s="42">
        <v>314.05399999999997</v>
      </c>
      <c r="I2" s="42">
        <v>400.11</v>
      </c>
      <c r="J2" s="42">
        <v>180.03</v>
      </c>
      <c r="K2" s="42">
        <v>464.08</v>
      </c>
      <c r="L2" s="42">
        <v>550.13</v>
      </c>
      <c r="M2" s="42">
        <v>246.03700000000001</v>
      </c>
      <c r="N2" s="42">
        <v>312.04399999999998</v>
      </c>
      <c r="O2" s="42">
        <v>378.05099999999999</v>
      </c>
      <c r="P2" s="42">
        <v>414.07</v>
      </c>
      <c r="Q2" s="42">
        <v>500.13</v>
      </c>
      <c r="R2" s="42">
        <v>264.04700000000003</v>
      </c>
      <c r="S2" s="42">
        <v>230.03800000000001</v>
      </c>
      <c r="T2" s="43">
        <v>327.14</v>
      </c>
      <c r="U2" s="42">
        <v>428.16</v>
      </c>
      <c r="V2" s="42">
        <v>528.16999999999996</v>
      </c>
      <c r="W2" s="42">
        <v>450.12</v>
      </c>
      <c r="X2" s="44">
        <v>250.09</v>
      </c>
      <c r="Y2" s="42">
        <v>350.1</v>
      </c>
      <c r="Z2" s="43">
        <v>230.03800000000001</v>
      </c>
    </row>
    <row r="3" spans="1:27" s="11" customFormat="1" x14ac:dyDescent="0.2">
      <c r="A3" s="45" t="s">
        <v>1</v>
      </c>
      <c r="B3" s="45">
        <f>B2/B4</f>
        <v>188.6</v>
      </c>
      <c r="C3" s="45">
        <f>C2/C4</f>
        <v>252.24456521739128</v>
      </c>
      <c r="D3" s="45">
        <f>D2/D4</f>
        <v>129.72060606060606</v>
      </c>
      <c r="E3" s="45">
        <v>162</v>
      </c>
      <c r="F3" s="45">
        <v>292</v>
      </c>
      <c r="G3" s="45">
        <f>G2/G4</f>
        <v>212.90175438596492</v>
      </c>
      <c r="H3" s="45">
        <v>182</v>
      </c>
      <c r="I3" s="45">
        <v>217</v>
      </c>
      <c r="J3" s="45">
        <f>J2/J4</f>
        <v>111.12962962962962</v>
      </c>
      <c r="K3" s="45">
        <v>265</v>
      </c>
      <c r="L3" s="45">
        <f>L2/L4</f>
        <v>295.76881720430106</v>
      </c>
      <c r="M3" s="45">
        <f>M2/M4</f>
        <v>140.59257142857143</v>
      </c>
      <c r="N3" s="45">
        <f>N2/N4</f>
        <v>174.3262569832402</v>
      </c>
      <c r="O3" s="45">
        <f>O2/O4</f>
        <v>212.388202247191</v>
      </c>
      <c r="P3" s="45">
        <v>237</v>
      </c>
      <c r="Q3" s="45">
        <v>272</v>
      </c>
      <c r="R3" s="45">
        <f t="shared" ref="R3:Y3" si="0">R2/R4</f>
        <v>158.11197604790422</v>
      </c>
      <c r="S3" s="45">
        <f t="shared" si="0"/>
        <v>139.41696969696972</v>
      </c>
      <c r="T3" s="43">
        <v>195</v>
      </c>
      <c r="U3" s="45">
        <f t="shared" si="0"/>
        <v>254.85714285714289</v>
      </c>
      <c r="V3" s="45">
        <f t="shared" si="0"/>
        <v>308.87134502923976</v>
      </c>
      <c r="W3" s="45">
        <f t="shared" si="0"/>
        <v>242</v>
      </c>
      <c r="X3" s="45">
        <f t="shared" si="0"/>
        <v>137.41208791208791</v>
      </c>
      <c r="Y3" s="45">
        <f t="shared" si="0"/>
        <v>191.31147540983608</v>
      </c>
      <c r="Z3" s="43">
        <v>134</v>
      </c>
    </row>
    <row r="4" spans="1:27" x14ac:dyDescent="0.2">
      <c r="A4" s="42" t="s">
        <v>3</v>
      </c>
      <c r="B4" s="42">
        <v>1.75</v>
      </c>
      <c r="C4" s="42">
        <v>1.84</v>
      </c>
      <c r="D4" s="42">
        <v>1.65</v>
      </c>
      <c r="E4" s="42">
        <v>1.83</v>
      </c>
      <c r="F4" s="42">
        <v>1.79</v>
      </c>
      <c r="G4" s="42">
        <v>1.71</v>
      </c>
      <c r="H4" s="42">
        <v>1.69</v>
      </c>
      <c r="I4" s="42">
        <v>1.84</v>
      </c>
      <c r="J4" s="42">
        <v>1.62</v>
      </c>
      <c r="K4" s="42">
        <v>1.78</v>
      </c>
      <c r="L4" s="42">
        <v>1.86</v>
      </c>
      <c r="M4" s="42">
        <v>1.75</v>
      </c>
      <c r="N4" s="42">
        <v>1.79</v>
      </c>
      <c r="O4" s="42">
        <v>1.78</v>
      </c>
      <c r="P4" s="42">
        <v>1.8</v>
      </c>
      <c r="Q4" s="42">
        <v>1.84</v>
      </c>
      <c r="R4" s="42">
        <v>1.67</v>
      </c>
      <c r="S4" s="42">
        <v>1.65</v>
      </c>
      <c r="T4" s="42">
        <v>1.65</v>
      </c>
      <c r="U4" s="42">
        <v>1.68</v>
      </c>
      <c r="V4" s="42">
        <v>1.71</v>
      </c>
      <c r="W4" s="42">
        <v>1.86</v>
      </c>
      <c r="X4" s="42">
        <v>1.82</v>
      </c>
      <c r="Y4" s="42">
        <v>1.83</v>
      </c>
      <c r="Z4" s="42">
        <v>1.5</v>
      </c>
    </row>
    <row r="5" spans="1:27" s="12" customFormat="1" x14ac:dyDescent="0.2">
      <c r="A5" s="46" t="s">
        <v>4</v>
      </c>
      <c r="B5" s="46">
        <v>5.5199999999999999E-2</v>
      </c>
      <c r="C5" s="46"/>
      <c r="D5" s="46"/>
      <c r="E5" s="46">
        <v>2292.7640000000001</v>
      </c>
      <c r="F5" s="46"/>
      <c r="G5" s="46">
        <v>162.37165200000001</v>
      </c>
      <c r="H5" s="46">
        <v>200.05239799999995</v>
      </c>
      <c r="I5" s="46">
        <v>0</v>
      </c>
      <c r="J5" s="46"/>
      <c r="K5" s="46"/>
      <c r="L5" s="46"/>
      <c r="M5" s="46"/>
      <c r="N5" s="46"/>
      <c r="O5" s="46"/>
      <c r="P5" s="46"/>
      <c r="Q5" s="46">
        <v>0</v>
      </c>
      <c r="R5" s="46"/>
      <c r="S5" s="46"/>
      <c r="T5" s="46"/>
      <c r="U5" s="46"/>
      <c r="V5" s="46"/>
      <c r="W5" s="46"/>
      <c r="X5" s="46"/>
      <c r="Y5" s="46"/>
      <c r="Z5" s="46"/>
    </row>
    <row r="6" spans="1:27" x14ac:dyDescent="0.2">
      <c r="A6" s="42" t="s">
        <v>5</v>
      </c>
      <c r="B6" s="42"/>
      <c r="C6" s="42"/>
      <c r="D6" s="42">
        <v>6.37</v>
      </c>
      <c r="E6" s="46">
        <v>0.23799999999999999</v>
      </c>
      <c r="F6" s="46">
        <v>3.1099999999999999E-2</v>
      </c>
      <c r="G6" s="42">
        <v>0.13300000000000001</v>
      </c>
      <c r="H6" s="42">
        <v>1.45</v>
      </c>
      <c r="I6" s="46">
        <v>9.9500000000000005E-3</v>
      </c>
      <c r="J6" s="42">
        <v>8.4600000000000009</v>
      </c>
      <c r="K6" s="42">
        <v>0.17100000000000001</v>
      </c>
      <c r="L6" s="46">
        <v>5.6499999999999996E-3</v>
      </c>
      <c r="M6" s="42"/>
      <c r="N6" s="42"/>
      <c r="O6" s="42"/>
      <c r="P6" s="42">
        <v>0.52500000000000002</v>
      </c>
      <c r="Q6" s="46">
        <v>7.7999999999999996E-3</v>
      </c>
      <c r="R6" s="42">
        <v>3.54</v>
      </c>
      <c r="S6" s="42"/>
      <c r="T6" s="42"/>
      <c r="U6" s="42"/>
      <c r="V6" s="42"/>
      <c r="W6" s="42"/>
      <c r="X6" s="42"/>
      <c r="Y6" s="42"/>
      <c r="Z6" s="42"/>
    </row>
    <row r="7" spans="1:27" x14ac:dyDescent="0.2">
      <c r="A7" s="42" t="s">
        <v>2</v>
      </c>
      <c r="B7" s="42">
        <v>173</v>
      </c>
      <c r="C7" s="42"/>
      <c r="D7" s="42">
        <v>121</v>
      </c>
      <c r="E7" s="42">
        <v>211</v>
      </c>
      <c r="F7" s="42">
        <v>184</v>
      </c>
      <c r="G7" s="42">
        <v>175</v>
      </c>
      <c r="H7" s="42">
        <v>157</v>
      </c>
      <c r="I7" s="42">
        <v>239</v>
      </c>
      <c r="J7" s="42">
        <v>110</v>
      </c>
      <c r="K7" s="42">
        <v>218</v>
      </c>
      <c r="L7" s="42">
        <v>245</v>
      </c>
      <c r="M7" s="42"/>
      <c r="N7" s="42"/>
      <c r="O7" s="42"/>
      <c r="P7" s="42">
        <v>189</v>
      </c>
      <c r="Q7" s="42">
        <v>145</v>
      </c>
      <c r="R7" s="42">
        <v>138</v>
      </c>
      <c r="S7" s="42"/>
      <c r="T7" s="42"/>
      <c r="U7" s="42"/>
      <c r="V7" s="42"/>
      <c r="W7" s="42"/>
      <c r="X7" s="42"/>
      <c r="Y7" s="42"/>
      <c r="Z7" s="42"/>
    </row>
    <row r="13" spans="1:27" x14ac:dyDescent="0.2">
      <c r="Y13" s="23"/>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Z6"/>
  <sheetViews>
    <sheetView zoomScale="61" zoomScaleNormal="160" workbookViewId="0">
      <selection activeCell="R17" sqref="R17"/>
    </sheetView>
  </sheetViews>
  <sheetFormatPr baseColWidth="10" defaultColWidth="8.83203125" defaultRowHeight="15" x14ac:dyDescent="0.2"/>
  <sheetData>
    <row r="1" spans="1:2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26" x14ac:dyDescent="0.2">
      <c r="A2" s="1" t="s">
        <v>6</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row>
    <row r="3" spans="1:2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2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2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2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tabSelected="1" zoomScale="150" zoomScaleNormal="150" workbookViewId="0">
      <selection sqref="A1:XFD1048576"/>
    </sheetView>
  </sheetViews>
  <sheetFormatPr baseColWidth="10" defaultColWidth="8.83203125" defaultRowHeight="15" x14ac:dyDescent="0.2"/>
  <cols>
    <col min="1" max="1" width="15.83203125" bestFit="1" customWidth="1"/>
  </cols>
  <sheetData>
    <row r="1" spans="1:3" x14ac:dyDescent="0.2">
      <c r="A1" s="39" t="s">
        <v>11</v>
      </c>
      <c r="B1" s="39" t="s">
        <v>12</v>
      </c>
      <c r="C1" s="39" t="s">
        <v>13</v>
      </c>
    </row>
    <row r="2" spans="1:3" x14ac:dyDescent="0.2">
      <c r="A2" s="40" t="s">
        <v>14</v>
      </c>
      <c r="B2" s="41" t="s">
        <v>67</v>
      </c>
      <c r="C2" s="13"/>
    </row>
    <row r="3" spans="1:3" x14ac:dyDescent="0.2">
      <c r="A3" s="40" t="s">
        <v>15</v>
      </c>
      <c r="B3" s="33">
        <f>0.007/2</f>
        <v>3.5000000000000001E-3</v>
      </c>
      <c r="C3" s="13" t="s">
        <v>16</v>
      </c>
    </row>
    <row r="4" spans="1:3" ht="16" x14ac:dyDescent="0.2">
      <c r="A4" s="40" t="s">
        <v>17</v>
      </c>
      <c r="B4" s="14">
        <v>0.38100000000000001</v>
      </c>
      <c r="C4" s="13"/>
    </row>
    <row r="5" spans="1:3" x14ac:dyDescent="0.2">
      <c r="A5" s="40" t="s">
        <v>18</v>
      </c>
      <c r="B5" s="40">
        <v>1</v>
      </c>
      <c r="C5" s="13"/>
    </row>
    <row r="6" spans="1:3" x14ac:dyDescent="0.2">
      <c r="A6" s="40" t="s">
        <v>19</v>
      </c>
      <c r="B6" s="40">
        <v>1.05</v>
      </c>
      <c r="C6" s="13" t="s">
        <v>20</v>
      </c>
    </row>
    <row r="7" spans="1:3" x14ac:dyDescent="0.2">
      <c r="A7" s="40" t="s">
        <v>30</v>
      </c>
      <c r="B7" s="17">
        <v>0.64995000000000003</v>
      </c>
      <c r="C7" s="13" t="s">
        <v>20</v>
      </c>
    </row>
    <row r="8" spans="1:3" x14ac:dyDescent="0.2">
      <c r="A8" s="40" t="s">
        <v>21</v>
      </c>
      <c r="B8" s="40">
        <v>1.5</v>
      </c>
      <c r="C8" s="13" t="s">
        <v>16</v>
      </c>
    </row>
    <row r="9" spans="1:3" x14ac:dyDescent="0.2">
      <c r="A9" s="40" t="s">
        <v>22</v>
      </c>
      <c r="B9" s="13">
        <f>45.7/1000</f>
        <v>4.5700000000000005E-2</v>
      </c>
      <c r="C9" s="13" t="s">
        <v>68</v>
      </c>
    </row>
    <row r="10" spans="1:3" x14ac:dyDescent="0.2">
      <c r="A10" s="40" t="s">
        <v>23</v>
      </c>
      <c r="B10" s="13">
        <f>0.09633334*60</f>
        <v>5.7800004000000005</v>
      </c>
      <c r="C10" s="13" t="s">
        <v>69</v>
      </c>
    </row>
    <row r="11" spans="1:3" x14ac:dyDescent="0.2">
      <c r="A11" s="40" t="s">
        <v>24</v>
      </c>
      <c r="B11" s="40">
        <v>0.318</v>
      </c>
      <c r="C11" s="13" t="s">
        <v>16</v>
      </c>
    </row>
    <row r="12" spans="1:3" x14ac:dyDescent="0.2">
      <c r="A12" s="40" t="s">
        <v>25</v>
      </c>
      <c r="B12" s="40">
        <v>1</v>
      </c>
      <c r="C12" s="13"/>
    </row>
    <row r="13" spans="1:3" x14ac:dyDescent="0.2">
      <c r="A13" s="40" t="s">
        <v>26</v>
      </c>
      <c r="B13" s="40" t="s">
        <v>27</v>
      </c>
      <c r="C13" s="13"/>
    </row>
    <row r="14" spans="1:3" x14ac:dyDescent="0.2">
      <c r="A14" s="40" t="s">
        <v>28</v>
      </c>
      <c r="B14" s="40" t="s">
        <v>29</v>
      </c>
      <c r="C14" s="13"/>
    </row>
    <row r="15" spans="1:3" x14ac:dyDescent="0.2">
      <c r="A15" s="40" t="s">
        <v>13</v>
      </c>
      <c r="B15" s="13" t="s">
        <v>108</v>
      </c>
      <c r="C15" s="13"/>
    </row>
    <row r="16" spans="1:3" x14ac:dyDescent="0.2">
      <c r="A16" s="40" t="s">
        <v>31</v>
      </c>
      <c r="B16" s="40"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G442"/>
  <sheetViews>
    <sheetView workbookViewId="0">
      <selection activeCell="B114" sqref="B114"/>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7" x14ac:dyDescent="0.2">
      <c r="A1" s="13" t="s">
        <v>32</v>
      </c>
      <c r="B1" s="13" t="s">
        <v>31</v>
      </c>
      <c r="C1" s="13" t="s">
        <v>33</v>
      </c>
      <c r="D1" s="13" t="s">
        <v>34</v>
      </c>
    </row>
    <row r="2" spans="1:7" x14ac:dyDescent="0.2">
      <c r="A2" s="13" t="s">
        <v>27</v>
      </c>
      <c r="B2" s="47">
        <v>0</v>
      </c>
      <c r="C2" s="16">
        <v>3.4725499999999998E-4</v>
      </c>
      <c r="D2" s="17" t="s">
        <v>43</v>
      </c>
      <c r="G2" s="47"/>
    </row>
    <row r="3" spans="1:7" x14ac:dyDescent="0.2">
      <c r="A3" s="13" t="s">
        <v>27</v>
      </c>
      <c r="B3" s="47">
        <v>41.666670000000003</v>
      </c>
      <c r="C3" s="16">
        <v>3.6181499999999998E-4</v>
      </c>
      <c r="D3" s="17" t="s">
        <v>43</v>
      </c>
      <c r="G3" s="47"/>
    </row>
    <row r="4" spans="1:7" x14ac:dyDescent="0.2">
      <c r="A4" s="13" t="s">
        <v>27</v>
      </c>
      <c r="B4" s="47">
        <v>0</v>
      </c>
      <c r="C4" s="19">
        <v>3.4900000000000003E-4</v>
      </c>
      <c r="D4" s="17" t="s">
        <v>44</v>
      </c>
      <c r="G4" s="47"/>
    </row>
    <row r="5" spans="1:7" x14ac:dyDescent="0.2">
      <c r="A5" s="13" t="s">
        <v>27</v>
      </c>
      <c r="B5" s="47">
        <v>41.666670000000003</v>
      </c>
      <c r="C5" s="19">
        <v>3.7399999999999998E-4</v>
      </c>
      <c r="D5" s="17" t="s">
        <v>44</v>
      </c>
      <c r="G5" s="47"/>
    </row>
    <row r="6" spans="1:7" x14ac:dyDescent="0.2">
      <c r="A6" s="13" t="s">
        <v>27</v>
      </c>
      <c r="B6" s="47">
        <v>0</v>
      </c>
      <c r="C6" s="16">
        <v>3.2762500000000001E-4</v>
      </c>
      <c r="D6" s="17" t="s">
        <v>45</v>
      </c>
      <c r="G6" s="47"/>
    </row>
    <row r="7" spans="1:7" x14ac:dyDescent="0.2">
      <c r="A7" s="13" t="s">
        <v>27</v>
      </c>
      <c r="B7" s="47">
        <v>41.666670000000003</v>
      </c>
      <c r="C7" s="16">
        <v>3.6518999999999999E-4</v>
      </c>
      <c r="D7" s="17" t="s">
        <v>45</v>
      </c>
      <c r="G7" s="47"/>
    </row>
    <row r="8" spans="1:7" x14ac:dyDescent="0.2">
      <c r="A8" s="13" t="s">
        <v>27</v>
      </c>
      <c r="B8" s="47">
        <v>0</v>
      </c>
      <c r="C8" s="16">
        <v>3.3484000000000004E-4</v>
      </c>
      <c r="D8" s="17" t="s">
        <v>57</v>
      </c>
      <c r="G8" s="47"/>
    </row>
    <row r="9" spans="1:7" x14ac:dyDescent="0.2">
      <c r="A9" s="13" t="s">
        <v>27</v>
      </c>
      <c r="B9" s="47">
        <v>41.666670000000003</v>
      </c>
      <c r="C9" s="16">
        <v>3.5364499999999998E-4</v>
      </c>
      <c r="D9" s="17" t="s">
        <v>57</v>
      </c>
      <c r="G9" s="47"/>
    </row>
    <row r="10" spans="1:7" x14ac:dyDescent="0.2">
      <c r="A10" s="13" t="s">
        <v>27</v>
      </c>
      <c r="B10" s="47">
        <v>0</v>
      </c>
      <c r="C10" s="16">
        <v>4.0747999999999999E-4</v>
      </c>
      <c r="D10" s="17" t="s">
        <v>42</v>
      </c>
      <c r="G10" s="47"/>
    </row>
    <row r="11" spans="1:7" x14ac:dyDescent="0.2">
      <c r="A11" s="13" t="s">
        <v>27</v>
      </c>
      <c r="B11" s="47">
        <v>41.666670000000003</v>
      </c>
      <c r="C11" s="16">
        <v>4.4214999999999999E-4</v>
      </c>
      <c r="D11" s="17" t="s">
        <v>42</v>
      </c>
      <c r="G11" s="47"/>
    </row>
    <row r="12" spans="1:7" x14ac:dyDescent="0.2">
      <c r="A12" s="13" t="s">
        <v>27</v>
      </c>
      <c r="B12" s="47">
        <v>0</v>
      </c>
      <c r="C12" s="16">
        <v>2.9054000000000005E-4</v>
      </c>
      <c r="D12" s="17" t="s">
        <v>49</v>
      </c>
      <c r="G12" s="47"/>
    </row>
    <row r="13" spans="1:7" x14ac:dyDescent="0.2">
      <c r="A13" s="13" t="s">
        <v>27</v>
      </c>
      <c r="B13" s="47">
        <v>41.666670000000003</v>
      </c>
      <c r="C13" s="16">
        <v>3.0023000000000002E-4</v>
      </c>
      <c r="D13" s="17" t="s">
        <v>49</v>
      </c>
      <c r="G13" s="47"/>
    </row>
    <row r="14" spans="1:7" x14ac:dyDescent="0.2">
      <c r="A14" s="13" t="s">
        <v>27</v>
      </c>
      <c r="B14" s="47">
        <v>0</v>
      </c>
      <c r="C14" s="16">
        <v>2.11265E-4</v>
      </c>
      <c r="D14" s="17" t="s">
        <v>50</v>
      </c>
      <c r="G14" s="47"/>
    </row>
    <row r="15" spans="1:7" x14ac:dyDescent="0.2">
      <c r="A15" s="13" t="s">
        <v>27</v>
      </c>
      <c r="B15" s="47">
        <v>41.666670000000003</v>
      </c>
      <c r="C15" s="16">
        <v>2.232E-4</v>
      </c>
      <c r="D15" s="17" t="s">
        <v>50</v>
      </c>
      <c r="G15" s="47"/>
    </row>
    <row r="16" spans="1:7" x14ac:dyDescent="0.2">
      <c r="A16" s="13" t="s">
        <v>27</v>
      </c>
      <c r="B16" s="47">
        <v>0</v>
      </c>
      <c r="C16" s="20">
        <v>2.9999999999999997E-4</v>
      </c>
      <c r="D16" s="17" t="s">
        <v>54</v>
      </c>
      <c r="G16" s="47"/>
    </row>
    <row r="17" spans="1:7" x14ac:dyDescent="0.2">
      <c r="A17" s="13" t="s">
        <v>27</v>
      </c>
      <c r="B17" s="47">
        <v>41.666670000000003</v>
      </c>
      <c r="C17" s="20">
        <v>3.1399999999999999E-4</v>
      </c>
      <c r="D17" s="17" t="s">
        <v>54</v>
      </c>
      <c r="G17" s="47"/>
    </row>
    <row r="18" spans="1:7" x14ac:dyDescent="0.2">
      <c r="A18" s="13" t="s">
        <v>27</v>
      </c>
      <c r="B18" s="47">
        <v>0</v>
      </c>
      <c r="C18" s="18">
        <v>2.9082000000000001E-4</v>
      </c>
      <c r="D18" s="17" t="s">
        <v>55</v>
      </c>
      <c r="G18" s="47"/>
    </row>
    <row r="19" spans="1:7" x14ac:dyDescent="0.2">
      <c r="A19" s="13" t="s">
        <v>27</v>
      </c>
      <c r="B19" s="47">
        <v>41.666670000000003</v>
      </c>
      <c r="C19" s="18">
        <v>3.2466E-4</v>
      </c>
      <c r="D19" s="17" t="s">
        <v>55</v>
      </c>
      <c r="G19" s="47"/>
    </row>
    <row r="20" spans="1:7" x14ac:dyDescent="0.2">
      <c r="A20" s="13" t="s">
        <v>29</v>
      </c>
      <c r="B20" s="21">
        <v>0</v>
      </c>
      <c r="C20" s="15">
        <v>2.2097530254399999E-6</v>
      </c>
      <c r="D20" s="17" t="s">
        <v>43</v>
      </c>
      <c r="E20" s="33"/>
    </row>
    <row r="21" spans="1:7" x14ac:dyDescent="0.2">
      <c r="A21" s="13" t="s">
        <v>29</v>
      </c>
      <c r="B21" s="21">
        <v>51.528505958333334</v>
      </c>
      <c r="C21" s="15">
        <v>0</v>
      </c>
      <c r="D21" s="17" t="s">
        <v>43</v>
      </c>
      <c r="E21" s="33"/>
    </row>
    <row r="22" spans="1:7" x14ac:dyDescent="0.2">
      <c r="A22" s="13" t="s">
        <v>29</v>
      </c>
      <c r="B22" s="21">
        <v>103.05701191666667</v>
      </c>
      <c r="C22" s="15">
        <v>2.8264285952300002E-6</v>
      </c>
      <c r="D22" s="17" t="s">
        <v>43</v>
      </c>
      <c r="E22" s="33"/>
    </row>
    <row r="23" spans="1:7" x14ac:dyDescent="0.2">
      <c r="A23" s="13" t="s">
        <v>29</v>
      </c>
      <c r="B23" s="21">
        <v>154.58551787499999</v>
      </c>
      <c r="C23" s="15">
        <v>3.1758778995750002E-6</v>
      </c>
      <c r="D23" s="17" t="s">
        <v>43</v>
      </c>
      <c r="E23" s="33"/>
    </row>
    <row r="24" spans="1:7" x14ac:dyDescent="0.2">
      <c r="A24" s="13" t="s">
        <v>29</v>
      </c>
      <c r="B24" s="21">
        <v>206.11402383333333</v>
      </c>
      <c r="C24" s="15">
        <v>1.8191922016449998E-6</v>
      </c>
      <c r="D24" s="17" t="s">
        <v>43</v>
      </c>
      <c r="E24" s="33"/>
    </row>
    <row r="25" spans="1:7" x14ac:dyDescent="0.2">
      <c r="A25" s="13" t="s">
        <v>29</v>
      </c>
      <c r="B25" s="21">
        <v>309.17103574999999</v>
      </c>
      <c r="C25" s="15">
        <v>3.2889350989449995E-6</v>
      </c>
      <c r="D25" s="17" t="s">
        <v>43</v>
      </c>
      <c r="E25" s="33"/>
    </row>
    <row r="26" spans="1:7" x14ac:dyDescent="0.2">
      <c r="A26" s="13" t="s">
        <v>29</v>
      </c>
      <c r="B26" s="21">
        <v>343.17984968249999</v>
      </c>
      <c r="C26" s="15">
        <v>0</v>
      </c>
      <c r="D26" s="17" t="s">
        <v>43</v>
      </c>
      <c r="E26" s="33"/>
    </row>
    <row r="27" spans="1:7" x14ac:dyDescent="0.2">
      <c r="A27" s="13" t="s">
        <v>29</v>
      </c>
      <c r="B27" s="21">
        <v>412.22804766666667</v>
      </c>
      <c r="C27" s="15">
        <v>7.8317764026850005E-6</v>
      </c>
      <c r="D27" s="17" t="s">
        <v>43</v>
      </c>
      <c r="E27" s="33"/>
    </row>
    <row r="28" spans="1:7" x14ac:dyDescent="0.2">
      <c r="A28" s="13" t="s">
        <v>29</v>
      </c>
      <c r="B28" s="21">
        <v>412.22804766666667</v>
      </c>
      <c r="C28" s="15">
        <v>1.42193005086E-6</v>
      </c>
      <c r="D28" s="17" t="s">
        <v>43</v>
      </c>
      <c r="E28" s="33"/>
    </row>
    <row r="29" spans="1:7" x14ac:dyDescent="0.2">
      <c r="A29" s="13" t="s">
        <v>29</v>
      </c>
      <c r="B29" s="21">
        <v>515.28505958333324</v>
      </c>
      <c r="C29" s="15">
        <v>8.4690073849449993E-6</v>
      </c>
      <c r="D29" s="17" t="s">
        <v>43</v>
      </c>
      <c r="E29" s="33"/>
    </row>
    <row r="30" spans="1:7" x14ac:dyDescent="0.2">
      <c r="A30" s="13" t="s">
        <v>29</v>
      </c>
      <c r="B30" s="21">
        <v>515.28505958333324</v>
      </c>
      <c r="C30" s="15">
        <v>3.6203090860299994E-6</v>
      </c>
      <c r="D30" s="17" t="s">
        <v>43</v>
      </c>
      <c r="E30" s="33"/>
    </row>
    <row r="31" spans="1:7" x14ac:dyDescent="0.2">
      <c r="A31" s="13" t="s">
        <v>29</v>
      </c>
      <c r="B31" s="21">
        <v>618.34207149999997</v>
      </c>
      <c r="C31" s="15">
        <v>1.4985209609149998E-5</v>
      </c>
      <c r="D31" s="17" t="s">
        <v>43</v>
      </c>
      <c r="E31" s="33"/>
    </row>
    <row r="32" spans="1:7" x14ac:dyDescent="0.2">
      <c r="A32" s="13" t="s">
        <v>29</v>
      </c>
      <c r="B32" s="21">
        <v>618.34207149999997</v>
      </c>
      <c r="C32" s="15">
        <v>7.5867459823299997E-6</v>
      </c>
      <c r="D32" s="17" t="s">
        <v>43</v>
      </c>
      <c r="E32" s="33"/>
    </row>
    <row r="33" spans="1:5" x14ac:dyDescent="0.2">
      <c r="A33" s="13" t="s">
        <v>29</v>
      </c>
      <c r="B33" s="21">
        <v>721.39908341666671</v>
      </c>
      <c r="C33" s="15">
        <v>2.0257783682049999E-5</v>
      </c>
      <c r="D33" s="17" t="s">
        <v>43</v>
      </c>
      <c r="E33" s="33"/>
    </row>
    <row r="34" spans="1:5" x14ac:dyDescent="0.2">
      <c r="A34" s="13" t="s">
        <v>29</v>
      </c>
      <c r="B34" s="21">
        <v>721.39908341666671</v>
      </c>
      <c r="C34" s="15">
        <v>2.0889277317199999E-5</v>
      </c>
      <c r="D34" s="17" t="s">
        <v>43</v>
      </c>
      <c r="E34" s="33"/>
    </row>
    <row r="35" spans="1:5" x14ac:dyDescent="0.2">
      <c r="A35" s="13" t="s">
        <v>29</v>
      </c>
      <c r="B35" s="21">
        <v>824.45609533333334</v>
      </c>
      <c r="C35" s="15">
        <v>2.7154269023815003E-5</v>
      </c>
      <c r="D35" s="17" t="s">
        <v>43</v>
      </c>
      <c r="E35" s="33"/>
    </row>
    <row r="36" spans="1:5" x14ac:dyDescent="0.2">
      <c r="A36" s="13" t="s">
        <v>29</v>
      </c>
      <c r="B36" s="21">
        <v>824.45609533333334</v>
      </c>
      <c r="C36" s="15">
        <v>2.3012817691044997E-5</v>
      </c>
      <c r="D36" s="17" t="s">
        <v>43</v>
      </c>
      <c r="E36" s="33"/>
    </row>
    <row r="37" spans="1:5" x14ac:dyDescent="0.2">
      <c r="A37" s="13" t="s">
        <v>29</v>
      </c>
      <c r="B37" s="21">
        <v>1030.5701191666665</v>
      </c>
      <c r="C37" s="15">
        <v>4.9118187708139999E-5</v>
      </c>
      <c r="D37" s="17" t="s">
        <v>43</v>
      </c>
      <c r="E37" s="33"/>
    </row>
    <row r="38" spans="1:5" x14ac:dyDescent="0.2">
      <c r="A38" s="13" t="s">
        <v>29</v>
      </c>
      <c r="B38" s="21">
        <v>1030.5701191666665</v>
      </c>
      <c r="C38" s="15">
        <v>4.4800156166105002E-5</v>
      </c>
      <c r="D38" s="17" t="s">
        <v>43</v>
      </c>
      <c r="E38" s="33"/>
    </row>
    <row r="39" spans="1:5" x14ac:dyDescent="0.2">
      <c r="A39" s="13" t="s">
        <v>29</v>
      </c>
      <c r="B39" s="21">
        <v>1236.6841429999999</v>
      </c>
      <c r="C39" s="15">
        <v>7.6704129422455001E-5</v>
      </c>
      <c r="D39" s="17" t="s">
        <v>43</v>
      </c>
      <c r="E39" s="33"/>
    </row>
    <row r="40" spans="1:5" x14ac:dyDescent="0.2">
      <c r="A40" s="13" t="s">
        <v>29</v>
      </c>
      <c r="B40" s="21">
        <v>1236.6841429999999</v>
      </c>
      <c r="C40" s="15">
        <v>6.976812785071E-5</v>
      </c>
      <c r="D40" s="17" t="s">
        <v>43</v>
      </c>
      <c r="E40" s="33"/>
    </row>
    <row r="41" spans="1:5" x14ac:dyDescent="0.2">
      <c r="A41" s="13" t="s">
        <v>29</v>
      </c>
      <c r="B41" s="21">
        <v>1442.7981668333334</v>
      </c>
      <c r="C41" s="15">
        <v>1.07733174954535E-4</v>
      </c>
      <c r="D41" s="17" t="s">
        <v>43</v>
      </c>
      <c r="E41" s="33"/>
    </row>
    <row r="42" spans="1:5" x14ac:dyDescent="0.2">
      <c r="A42" s="13" t="s">
        <v>29</v>
      </c>
      <c r="B42" s="21">
        <v>1442.7981668333334</v>
      </c>
      <c r="C42" s="15">
        <v>9.5718354056944984E-5</v>
      </c>
      <c r="D42" s="17" t="s">
        <v>43</v>
      </c>
      <c r="E42" s="33"/>
    </row>
    <row r="43" spans="1:5" x14ac:dyDescent="0.2">
      <c r="A43" s="13" t="s">
        <v>29</v>
      </c>
      <c r="B43" s="21">
        <v>1648.9121906666667</v>
      </c>
      <c r="C43" s="15">
        <v>1.4141392390879001E-4</v>
      </c>
      <c r="D43" s="17" t="s">
        <v>43</v>
      </c>
      <c r="E43" s="33"/>
    </row>
    <row r="44" spans="1:5" x14ac:dyDescent="0.2">
      <c r="A44" s="13" t="s">
        <v>29</v>
      </c>
      <c r="B44" s="21">
        <v>1648.9121906666667</v>
      </c>
      <c r="C44" s="15">
        <v>1.2011568264181499E-4</v>
      </c>
      <c r="D44" s="17" t="s">
        <v>43</v>
      </c>
      <c r="E44" s="33"/>
    </row>
    <row r="45" spans="1:5" x14ac:dyDescent="0.2">
      <c r="A45" s="13" t="s">
        <v>29</v>
      </c>
      <c r="B45" s="21">
        <v>1855.0262144999999</v>
      </c>
      <c r="C45" s="15">
        <v>1.6163059607138998E-4</v>
      </c>
      <c r="D45" s="17" t="s">
        <v>43</v>
      </c>
      <c r="E45" s="33"/>
    </row>
    <row r="46" spans="1:5" x14ac:dyDescent="0.2">
      <c r="A46" s="13" t="s">
        <v>29</v>
      </c>
      <c r="B46" s="21">
        <v>1855.0262144999999</v>
      </c>
      <c r="C46" s="15">
        <v>1.52427175614395E-4</v>
      </c>
      <c r="D46" s="17" t="s">
        <v>43</v>
      </c>
      <c r="E46" s="33"/>
    </row>
    <row r="47" spans="1:5" x14ac:dyDescent="0.2">
      <c r="A47" s="13" t="s">
        <v>29</v>
      </c>
      <c r="B47" s="21">
        <v>2061.1402383333329</v>
      </c>
      <c r="C47" s="15">
        <v>1.8611260521879497E-4</v>
      </c>
      <c r="D47" s="17" t="s">
        <v>43</v>
      </c>
      <c r="E47" s="33"/>
    </row>
    <row r="48" spans="1:5" x14ac:dyDescent="0.2">
      <c r="A48" s="13" t="s">
        <v>29</v>
      </c>
      <c r="B48" s="21">
        <v>2061.1402383333329</v>
      </c>
      <c r="C48" s="15">
        <v>1.7125839582211999E-4</v>
      </c>
      <c r="D48" s="17" t="s">
        <v>43</v>
      </c>
      <c r="E48" s="33"/>
    </row>
    <row r="49" spans="1:5" x14ac:dyDescent="0.2">
      <c r="A49" s="13" t="s">
        <v>29</v>
      </c>
      <c r="B49" s="21">
        <v>2267.2542621666666</v>
      </c>
      <c r="C49" s="15">
        <v>2.1358549008099496E-4</v>
      </c>
      <c r="D49" s="17" t="s">
        <v>43</v>
      </c>
      <c r="E49" s="33"/>
    </row>
    <row r="50" spans="1:5" x14ac:dyDescent="0.2">
      <c r="A50" s="13" t="s">
        <v>29</v>
      </c>
      <c r="B50" s="21">
        <v>2267.2542621666666</v>
      </c>
      <c r="C50" s="15">
        <v>1.99986998865705E-4</v>
      </c>
      <c r="D50" s="17" t="s">
        <v>43</v>
      </c>
      <c r="E50" s="33"/>
    </row>
    <row r="51" spans="1:5" x14ac:dyDescent="0.2">
      <c r="A51" s="13" t="s">
        <v>29</v>
      </c>
      <c r="B51" s="21">
        <v>2473.3682859999999</v>
      </c>
      <c r="C51" s="15">
        <v>2.5453272978833997E-4</v>
      </c>
      <c r="D51" s="17" t="s">
        <v>43</v>
      </c>
      <c r="E51" s="33"/>
    </row>
    <row r="52" spans="1:5" x14ac:dyDescent="0.2">
      <c r="A52" s="13" t="s">
        <v>29</v>
      </c>
      <c r="B52" s="21">
        <v>2473.3682859999999</v>
      </c>
      <c r="C52" s="15">
        <v>2.50297134499775E-4</v>
      </c>
      <c r="D52" s="17" t="s">
        <v>43</v>
      </c>
      <c r="E52" s="33"/>
    </row>
    <row r="53" spans="1:5" x14ac:dyDescent="0.2">
      <c r="A53" s="13" t="s">
        <v>29</v>
      </c>
      <c r="B53" s="21">
        <v>2679.4823098333336</v>
      </c>
      <c r="C53" s="15">
        <v>2.95161354004555E-4</v>
      </c>
      <c r="D53" s="17" t="s">
        <v>43</v>
      </c>
      <c r="E53" s="33"/>
    </row>
    <row r="54" spans="1:5" x14ac:dyDescent="0.2">
      <c r="A54" s="13" t="s">
        <v>29</v>
      </c>
      <c r="B54" s="21">
        <v>2679.4823098333336</v>
      </c>
      <c r="C54" s="15">
        <v>2.8621958150868495E-4</v>
      </c>
      <c r="D54" s="17" t="s">
        <v>43</v>
      </c>
      <c r="E54" s="33"/>
    </row>
    <row r="55" spans="1:5" x14ac:dyDescent="0.2">
      <c r="A55" s="13" t="s">
        <v>29</v>
      </c>
      <c r="B55" s="21">
        <v>3091.7103575000001</v>
      </c>
      <c r="C55" s="15">
        <v>3.6286202420568497E-4</v>
      </c>
      <c r="D55" s="17" t="s">
        <v>43</v>
      </c>
      <c r="E55" s="33"/>
    </row>
    <row r="56" spans="1:5" x14ac:dyDescent="0.2">
      <c r="A56" s="13" t="s">
        <v>29</v>
      </c>
      <c r="B56" s="21">
        <v>3091.7103575000001</v>
      </c>
      <c r="C56" s="15">
        <v>3.4981353872548E-4</v>
      </c>
      <c r="D56" s="17" t="s">
        <v>43</v>
      </c>
      <c r="E56" s="33"/>
    </row>
    <row r="57" spans="1:5" x14ac:dyDescent="0.2">
      <c r="A57" s="13" t="s">
        <v>29</v>
      </c>
      <c r="B57" s="21">
        <v>3503.9384051666666</v>
      </c>
      <c r="C57" s="15">
        <v>4.1029463232401998E-4</v>
      </c>
      <c r="D57" s="17" t="s">
        <v>43</v>
      </c>
      <c r="E57" s="33"/>
    </row>
    <row r="58" spans="1:5" x14ac:dyDescent="0.2">
      <c r="A58" s="13" t="s">
        <v>29</v>
      </c>
      <c r="B58" s="21">
        <v>3503.9384051666666</v>
      </c>
      <c r="C58" s="15">
        <v>3.6917798322316E-4</v>
      </c>
      <c r="D58" s="17" t="s">
        <v>43</v>
      </c>
      <c r="E58" s="33"/>
    </row>
    <row r="59" spans="1:5" x14ac:dyDescent="0.2">
      <c r="A59" s="13" t="s">
        <v>29</v>
      </c>
      <c r="B59" s="21">
        <v>3916.1664528333331</v>
      </c>
      <c r="C59" s="15">
        <v>4.6239341734621002E-4</v>
      </c>
      <c r="D59" s="17" t="s">
        <v>43</v>
      </c>
      <c r="E59" s="33"/>
    </row>
    <row r="60" spans="1:5" x14ac:dyDescent="0.2">
      <c r="A60" s="13" t="s">
        <v>29</v>
      </c>
      <c r="B60" s="21">
        <v>3916.1664528333331</v>
      </c>
      <c r="C60" s="15">
        <v>4.1701845032586E-4</v>
      </c>
      <c r="D60" s="17" t="s">
        <v>43</v>
      </c>
      <c r="E60" s="33"/>
    </row>
    <row r="61" spans="1:5" x14ac:dyDescent="0.2">
      <c r="A61" s="13" t="s">
        <v>29</v>
      </c>
      <c r="B61" s="21">
        <v>4328.3945004999996</v>
      </c>
      <c r="C61" s="15">
        <v>4.75682770006575E-4</v>
      </c>
      <c r="D61" s="17" t="s">
        <v>43</v>
      </c>
      <c r="E61" s="33"/>
    </row>
    <row r="62" spans="1:5" x14ac:dyDescent="0.2">
      <c r="A62" s="13" t="s">
        <v>29</v>
      </c>
      <c r="B62" s="21">
        <v>4328.3945004999996</v>
      </c>
      <c r="C62" s="15">
        <v>5.2671288158607002E-4</v>
      </c>
      <c r="D62" s="17" t="s">
        <v>43</v>
      </c>
      <c r="E62" s="33"/>
    </row>
    <row r="63" spans="1:5" x14ac:dyDescent="0.2">
      <c r="A63" s="13" t="s">
        <v>29</v>
      </c>
      <c r="B63" s="21">
        <v>4740.6225481666661</v>
      </c>
      <c r="C63" s="15">
        <v>4.7291800903777499E-4</v>
      </c>
      <c r="D63" s="17" t="s">
        <v>43</v>
      </c>
      <c r="E63" s="33"/>
    </row>
    <row r="64" spans="1:5" x14ac:dyDescent="0.2">
      <c r="A64" s="13" t="s">
        <v>29</v>
      </c>
      <c r="B64" s="21">
        <v>4740.6225481666661</v>
      </c>
      <c r="C64" s="15">
        <v>4.6262311958361E-4</v>
      </c>
      <c r="D64" s="17" t="s">
        <v>43</v>
      </c>
      <c r="E64" s="33"/>
    </row>
    <row r="65" spans="1:5" x14ac:dyDescent="0.2">
      <c r="A65" s="13" t="s">
        <v>29</v>
      </c>
      <c r="B65" s="21">
        <v>5152.8505958333326</v>
      </c>
      <c r="C65" s="15">
        <v>4.4612346737179495E-4</v>
      </c>
      <c r="D65" s="17" t="s">
        <v>43</v>
      </c>
      <c r="E65" s="33"/>
    </row>
    <row r="66" spans="1:5" x14ac:dyDescent="0.2">
      <c r="A66" s="13" t="s">
        <v>29</v>
      </c>
      <c r="B66" s="21">
        <v>5152.8505958333326</v>
      </c>
      <c r="C66" s="15">
        <v>4.5217380374741503E-4</v>
      </c>
      <c r="D66" s="17" t="s">
        <v>43</v>
      </c>
      <c r="E66" s="33"/>
    </row>
    <row r="67" spans="1:5" x14ac:dyDescent="0.2">
      <c r="A67" s="13" t="s">
        <v>29</v>
      </c>
      <c r="B67" s="21">
        <v>0</v>
      </c>
      <c r="C67" s="15">
        <v>3.2331762185924996E-5</v>
      </c>
      <c r="D67" s="15" t="s">
        <v>44</v>
      </c>
      <c r="E67" s="33"/>
    </row>
    <row r="68" spans="1:5" x14ac:dyDescent="0.2">
      <c r="A68" s="13" t="s">
        <v>29</v>
      </c>
      <c r="B68" s="21">
        <v>51.528505958333334</v>
      </c>
      <c r="C68" s="15">
        <v>7.0455425834249993E-6</v>
      </c>
      <c r="D68" s="15" t="s">
        <v>44</v>
      </c>
      <c r="E68" s="33"/>
    </row>
    <row r="69" spans="1:5" x14ac:dyDescent="0.2">
      <c r="A69" s="13" t="s">
        <v>29</v>
      </c>
      <c r="B69" s="21">
        <v>103.05701191666667</v>
      </c>
      <c r="C69" s="15">
        <v>4.2756258478574999E-5</v>
      </c>
      <c r="D69" s="15" t="s">
        <v>44</v>
      </c>
      <c r="E69" s="33"/>
    </row>
    <row r="70" spans="1:5" x14ac:dyDescent="0.2">
      <c r="A70" s="13" t="s">
        <v>29</v>
      </c>
      <c r="B70" s="21">
        <v>154.58551787499999</v>
      </c>
      <c r="C70" s="15">
        <v>4.0402339938374999E-5</v>
      </c>
      <c r="D70" s="15" t="s">
        <v>44</v>
      </c>
      <c r="E70" s="33"/>
    </row>
    <row r="71" spans="1:5" x14ac:dyDescent="0.2">
      <c r="A71" s="13" t="s">
        <v>29</v>
      </c>
      <c r="B71" s="21">
        <v>206.11402383333333</v>
      </c>
      <c r="C71" s="15">
        <v>2.9503103983124999E-5</v>
      </c>
      <c r="D71" s="15" t="s">
        <v>44</v>
      </c>
      <c r="E71" s="33"/>
    </row>
    <row r="72" spans="1:5" x14ac:dyDescent="0.2">
      <c r="A72" s="13" t="s">
        <v>29</v>
      </c>
      <c r="B72" s="21">
        <v>309.17103574999999</v>
      </c>
      <c r="C72" s="15">
        <v>3.7919845898474998E-5</v>
      </c>
      <c r="D72" s="15" t="s">
        <v>44</v>
      </c>
      <c r="E72" s="33"/>
    </row>
    <row r="73" spans="1:5" x14ac:dyDescent="0.2">
      <c r="A73" s="13" t="s">
        <v>29</v>
      </c>
      <c r="B73" s="21">
        <v>343.17984968249999</v>
      </c>
      <c r="C73" s="15">
        <v>2.2700208953249997E-6</v>
      </c>
      <c r="D73" s="15" t="s">
        <v>44</v>
      </c>
      <c r="E73" s="33"/>
    </row>
    <row r="74" spans="1:5" x14ac:dyDescent="0.2">
      <c r="A74" s="13" t="s">
        <v>29</v>
      </c>
      <c r="B74" s="21">
        <v>412.22804766666667</v>
      </c>
      <c r="C74" s="15">
        <v>4.2400203382800002E-5</v>
      </c>
      <c r="D74" s="15" t="s">
        <v>44</v>
      </c>
      <c r="E74" s="33"/>
    </row>
    <row r="75" spans="1:5" x14ac:dyDescent="0.2">
      <c r="A75" s="13" t="s">
        <v>29</v>
      </c>
      <c r="B75" s="21">
        <v>412.22804766666667</v>
      </c>
      <c r="C75" s="15">
        <v>3.6923164620749997E-6</v>
      </c>
      <c r="D75" s="15" t="s">
        <v>44</v>
      </c>
      <c r="E75" s="33"/>
    </row>
    <row r="76" spans="1:5" x14ac:dyDescent="0.2">
      <c r="A76" s="13" t="s">
        <v>29</v>
      </c>
      <c r="B76" s="21">
        <v>515.28505958333324</v>
      </c>
      <c r="C76" s="15">
        <v>3.5457133026674999E-5</v>
      </c>
      <c r="D76" s="15" t="s">
        <v>44</v>
      </c>
      <c r="E76" s="33"/>
    </row>
    <row r="77" spans="1:5" x14ac:dyDescent="0.2">
      <c r="A77" s="13" t="s">
        <v>29</v>
      </c>
      <c r="B77" s="21">
        <v>515.28505958333324</v>
      </c>
      <c r="C77" s="15">
        <v>1.1076949386225001E-5</v>
      </c>
      <c r="D77" s="15" t="s">
        <v>44</v>
      </c>
      <c r="E77" s="33"/>
    </row>
    <row r="78" spans="1:5" x14ac:dyDescent="0.2">
      <c r="A78" s="13" t="s">
        <v>29</v>
      </c>
      <c r="B78" s="21">
        <v>618.34207149999997</v>
      </c>
      <c r="C78" s="15">
        <v>4.8354232426349995E-5</v>
      </c>
      <c r="D78" s="15" t="s">
        <v>44</v>
      </c>
      <c r="E78" s="33"/>
    </row>
    <row r="79" spans="1:5" x14ac:dyDescent="0.2">
      <c r="A79" s="13" t="s">
        <v>29</v>
      </c>
      <c r="B79" s="21">
        <v>618.34207149999997</v>
      </c>
      <c r="C79" s="15">
        <v>9.6358155253499995E-6</v>
      </c>
      <c r="D79" s="15" t="s">
        <v>44</v>
      </c>
      <c r="E79" s="33"/>
    </row>
    <row r="80" spans="1:5" x14ac:dyDescent="0.2">
      <c r="A80" s="13" t="s">
        <v>29</v>
      </c>
      <c r="B80" s="21">
        <v>721.39908341666671</v>
      </c>
      <c r="C80" s="15">
        <v>4.3300231183049994E-5</v>
      </c>
      <c r="D80" s="15" t="s">
        <v>44</v>
      </c>
      <c r="E80" s="33"/>
    </row>
    <row r="81" spans="1:5" x14ac:dyDescent="0.2">
      <c r="A81" s="13" t="s">
        <v>29</v>
      </c>
      <c r="B81" s="21">
        <v>721.39908341666671</v>
      </c>
      <c r="C81" s="15">
        <v>2.1786550816124999E-5</v>
      </c>
      <c r="D81" s="15" t="s">
        <v>44</v>
      </c>
      <c r="E81" s="33"/>
    </row>
    <row r="82" spans="1:5" x14ac:dyDescent="0.2">
      <c r="A82" s="13" t="s">
        <v>29</v>
      </c>
      <c r="B82" s="21">
        <v>824.45609533333334</v>
      </c>
      <c r="C82" s="15">
        <v>4.3587053236949999E-5</v>
      </c>
      <c r="D82" s="15" t="s">
        <v>44</v>
      </c>
      <c r="E82" s="33"/>
    </row>
    <row r="83" spans="1:5" x14ac:dyDescent="0.2">
      <c r="A83" s="13" t="s">
        <v>29</v>
      </c>
      <c r="B83" s="21">
        <v>824.45609533333334</v>
      </c>
      <c r="C83" s="15">
        <v>8.4678378013499989E-6</v>
      </c>
      <c r="D83" s="15" t="s">
        <v>44</v>
      </c>
      <c r="E83" s="33"/>
    </row>
    <row r="84" spans="1:5" x14ac:dyDescent="0.2">
      <c r="A84" s="13" t="s">
        <v>29</v>
      </c>
      <c r="B84" s="21">
        <v>1030.5701191666665</v>
      </c>
      <c r="C84" s="15">
        <v>3.7316530736174999E-5</v>
      </c>
      <c r="D84" s="15" t="s">
        <v>44</v>
      </c>
      <c r="E84" s="33"/>
    </row>
    <row r="85" spans="1:5" x14ac:dyDescent="0.2">
      <c r="A85" s="13" t="s">
        <v>29</v>
      </c>
      <c r="B85" s="21">
        <v>1030.5701191666665</v>
      </c>
      <c r="C85" s="15">
        <v>1.7802239923050001E-5</v>
      </c>
      <c r="D85" s="15" t="s">
        <v>44</v>
      </c>
      <c r="E85" s="33"/>
    </row>
    <row r="86" spans="1:5" x14ac:dyDescent="0.2">
      <c r="A86" s="13" t="s">
        <v>29</v>
      </c>
      <c r="B86" s="21">
        <v>1236.6841429999999</v>
      </c>
      <c r="C86" s="15">
        <v>4.6128889385849997E-5</v>
      </c>
      <c r="D86" s="15" t="s">
        <v>44</v>
      </c>
      <c r="E86" s="33"/>
    </row>
    <row r="87" spans="1:5" x14ac:dyDescent="0.2">
      <c r="A87" s="13" t="s">
        <v>29</v>
      </c>
      <c r="B87" s="21">
        <v>1236.6841429999999</v>
      </c>
      <c r="C87" s="15">
        <v>5.1193213407374992E-5</v>
      </c>
      <c r="D87" s="15" t="s">
        <v>44</v>
      </c>
      <c r="E87" s="33"/>
    </row>
    <row r="88" spans="1:5" x14ac:dyDescent="0.2">
      <c r="A88" s="13" t="s">
        <v>29</v>
      </c>
      <c r="B88" s="21">
        <v>1442.7981668333334</v>
      </c>
      <c r="C88" s="15">
        <v>5.0658698743949998E-5</v>
      </c>
      <c r="D88" s="15" t="s">
        <v>44</v>
      </c>
      <c r="E88" s="33"/>
    </row>
    <row r="89" spans="1:5" x14ac:dyDescent="0.2">
      <c r="A89" s="13" t="s">
        <v>29</v>
      </c>
      <c r="B89" s="21">
        <v>1442.7981668333334</v>
      </c>
      <c r="C89" s="15">
        <v>2.3067558304874996E-5</v>
      </c>
      <c r="D89" s="15" t="s">
        <v>44</v>
      </c>
      <c r="E89" s="33"/>
    </row>
    <row r="90" spans="1:5" x14ac:dyDescent="0.2">
      <c r="A90" s="13" t="s">
        <v>29</v>
      </c>
      <c r="B90" s="21">
        <v>1648.9121906666667</v>
      </c>
      <c r="C90" s="15">
        <v>7.1299992203625003E-5</v>
      </c>
      <c r="D90" s="15" t="s">
        <v>44</v>
      </c>
      <c r="E90" s="33"/>
    </row>
    <row r="91" spans="1:5" x14ac:dyDescent="0.2">
      <c r="A91" s="13" t="s">
        <v>29</v>
      </c>
      <c r="B91" s="21">
        <v>1648.9121906666667</v>
      </c>
      <c r="C91" s="15">
        <v>3.0725347365899996E-5</v>
      </c>
      <c r="D91" s="15" t="s">
        <v>44</v>
      </c>
      <c r="E91" s="33"/>
    </row>
    <row r="92" spans="1:5" x14ac:dyDescent="0.2">
      <c r="A92" s="13" t="s">
        <v>29</v>
      </c>
      <c r="B92" s="21">
        <v>1855.0262144999999</v>
      </c>
      <c r="C92" s="15">
        <v>6.6117415460625E-5</v>
      </c>
      <c r="D92" s="15" t="s">
        <v>44</v>
      </c>
      <c r="E92" s="33"/>
    </row>
    <row r="93" spans="1:5" x14ac:dyDescent="0.2">
      <c r="A93" s="13" t="s">
        <v>29</v>
      </c>
      <c r="B93" s="21">
        <v>1855.0262144999999</v>
      </c>
      <c r="C93" s="15">
        <v>4.3318783789499992E-5</v>
      </c>
      <c r="D93" s="15" t="s">
        <v>44</v>
      </c>
      <c r="E93" s="33"/>
    </row>
    <row r="94" spans="1:5" x14ac:dyDescent="0.2">
      <c r="A94" s="13" t="s">
        <v>29</v>
      </c>
      <c r="B94" s="21">
        <v>2061.1402383333329</v>
      </c>
      <c r="C94" s="15">
        <v>8.0498077003574999E-5</v>
      </c>
      <c r="D94" s="15" t="s">
        <v>44</v>
      </c>
      <c r="E94" s="33"/>
    </row>
    <row r="95" spans="1:5" x14ac:dyDescent="0.2">
      <c r="A95" s="13" t="s">
        <v>29</v>
      </c>
      <c r="B95" s="21">
        <v>2061.1402383333329</v>
      </c>
      <c r="C95" s="15">
        <v>5.1485207838375002E-5</v>
      </c>
      <c r="D95" s="15" t="s">
        <v>44</v>
      </c>
      <c r="E95" s="33"/>
    </row>
    <row r="96" spans="1:5" x14ac:dyDescent="0.2">
      <c r="A96" s="13" t="s">
        <v>29</v>
      </c>
      <c r="B96" s="21">
        <v>2267.2542621666666</v>
      </c>
      <c r="C96" s="15">
        <v>8.6907064890450001E-5</v>
      </c>
      <c r="D96" s="15" t="s">
        <v>44</v>
      </c>
      <c r="E96" s="33"/>
    </row>
    <row r="97" spans="1:5" x14ac:dyDescent="0.2">
      <c r="A97" s="13" t="s">
        <v>29</v>
      </c>
      <c r="B97" s="21">
        <v>2267.2542621666666</v>
      </c>
      <c r="C97" s="15">
        <v>7.0502521395149993E-5</v>
      </c>
      <c r="D97" s="15" t="s">
        <v>44</v>
      </c>
      <c r="E97" s="33"/>
    </row>
    <row r="98" spans="1:5" x14ac:dyDescent="0.2">
      <c r="A98" s="13" t="s">
        <v>29</v>
      </c>
      <c r="B98" s="21">
        <v>2473.3682859999999</v>
      </c>
      <c r="C98" s="15">
        <v>1.0590654965264999E-4</v>
      </c>
      <c r="D98" s="15" t="s">
        <v>44</v>
      </c>
      <c r="E98" s="33"/>
    </row>
    <row r="99" spans="1:5" x14ac:dyDescent="0.2">
      <c r="A99" s="13" t="s">
        <v>29</v>
      </c>
      <c r="B99" s="21">
        <v>2473.3682859999999</v>
      </c>
      <c r="C99" s="15">
        <v>7.993111498747499E-5</v>
      </c>
      <c r="D99" s="15" t="s">
        <v>44</v>
      </c>
      <c r="E99" s="33"/>
    </row>
    <row r="100" spans="1:5" x14ac:dyDescent="0.2">
      <c r="A100" s="13" t="s">
        <v>29</v>
      </c>
      <c r="B100" s="21">
        <v>2679.4823098333336</v>
      </c>
      <c r="C100" s="15">
        <v>1.2549945899309998E-4</v>
      </c>
      <c r="D100" s="15" t="s">
        <v>44</v>
      </c>
      <c r="E100" s="33"/>
    </row>
    <row r="101" spans="1:5" x14ac:dyDescent="0.2">
      <c r="A101" s="13" t="s">
        <v>29</v>
      </c>
      <c r="B101" s="21">
        <v>2679.4823098333336</v>
      </c>
      <c r="C101" s="15">
        <v>1.1075065417282501E-4</v>
      </c>
      <c r="D101" s="15" t="s">
        <v>44</v>
      </c>
      <c r="E101" s="33"/>
    </row>
    <row r="102" spans="1:5" x14ac:dyDescent="0.2">
      <c r="A102" s="13" t="s">
        <v>29</v>
      </c>
      <c r="B102" s="21">
        <v>3091.7103575000001</v>
      </c>
      <c r="C102" s="15">
        <v>1.7471415758114997E-4</v>
      </c>
      <c r="D102" s="15" t="s">
        <v>44</v>
      </c>
      <c r="E102" s="33"/>
    </row>
    <row r="103" spans="1:5" x14ac:dyDescent="0.2">
      <c r="A103" s="13" t="s">
        <v>29</v>
      </c>
      <c r="B103" s="21">
        <v>3091.7103575000001</v>
      </c>
      <c r="C103" s="15">
        <v>1.3512747793087499E-4</v>
      </c>
      <c r="D103" s="15" t="s">
        <v>44</v>
      </c>
      <c r="E103" s="33"/>
    </row>
    <row r="104" spans="1:5" x14ac:dyDescent="0.2">
      <c r="A104" s="13" t="s">
        <v>29</v>
      </c>
      <c r="B104" s="21">
        <v>3503.9384051666666</v>
      </c>
      <c r="C104" s="15">
        <v>2.0013252081427501E-4</v>
      </c>
      <c r="D104" s="15" t="s">
        <v>44</v>
      </c>
      <c r="E104" s="33"/>
    </row>
    <row r="105" spans="1:5" x14ac:dyDescent="0.2">
      <c r="A105" s="13" t="s">
        <v>29</v>
      </c>
      <c r="B105" s="21">
        <v>3503.9384051666666</v>
      </c>
      <c r="C105" s="15">
        <v>1.5843051578437499E-4</v>
      </c>
      <c r="D105" s="15" t="s">
        <v>44</v>
      </c>
      <c r="E105" s="33"/>
    </row>
    <row r="106" spans="1:5" x14ac:dyDescent="0.2">
      <c r="A106" s="13" t="s">
        <v>29</v>
      </c>
      <c r="B106" s="21">
        <v>3916.1664528333331</v>
      </c>
      <c r="C106" s="15">
        <v>2.4885269857162501E-4</v>
      </c>
      <c r="D106" s="15" t="s">
        <v>44</v>
      </c>
      <c r="E106" s="33"/>
    </row>
    <row r="107" spans="1:5" x14ac:dyDescent="0.2">
      <c r="A107" s="13" t="s">
        <v>29</v>
      </c>
      <c r="B107" s="21">
        <v>3916.1664528333331</v>
      </c>
      <c r="C107" s="15">
        <v>1.98047563790325E-4</v>
      </c>
      <c r="D107" s="15" t="s">
        <v>44</v>
      </c>
      <c r="E107" s="33"/>
    </row>
    <row r="108" spans="1:5" x14ac:dyDescent="0.2">
      <c r="A108" s="13" t="s">
        <v>29</v>
      </c>
      <c r="B108" s="21">
        <v>4328.3945004999996</v>
      </c>
      <c r="C108" s="15">
        <v>2.8353837929774996E-4</v>
      </c>
      <c r="D108" s="15" t="s">
        <v>44</v>
      </c>
      <c r="E108" s="33"/>
    </row>
    <row r="109" spans="1:5" x14ac:dyDescent="0.2">
      <c r="A109" s="13" t="s">
        <v>29</v>
      </c>
      <c r="B109" s="21">
        <v>4328.3945004999996</v>
      </c>
      <c r="C109" s="15">
        <v>2.7132874141747498E-4</v>
      </c>
      <c r="D109" s="15" t="s">
        <v>44</v>
      </c>
      <c r="E109" s="33"/>
    </row>
    <row r="110" spans="1:5" x14ac:dyDescent="0.2">
      <c r="A110" s="13" t="s">
        <v>29</v>
      </c>
      <c r="B110" s="21">
        <v>4740.6225481666661</v>
      </c>
      <c r="C110" s="15">
        <v>3.3619494183494998E-4</v>
      </c>
      <c r="D110" s="15" t="s">
        <v>44</v>
      </c>
      <c r="E110" s="33"/>
    </row>
    <row r="111" spans="1:5" x14ac:dyDescent="0.2">
      <c r="A111" s="13" t="s">
        <v>29</v>
      </c>
      <c r="B111" s="21">
        <v>4740.6225481666661</v>
      </c>
      <c r="C111" s="15">
        <v>2.7606658616849996E-4</v>
      </c>
      <c r="D111" s="15" t="s">
        <v>44</v>
      </c>
      <c r="E111" s="33"/>
    </row>
    <row r="112" spans="1:5" x14ac:dyDescent="0.2">
      <c r="A112" s="13" t="s">
        <v>29</v>
      </c>
      <c r="B112" s="21">
        <v>5152.8505958333326</v>
      </c>
      <c r="C112" s="15">
        <v>3.6629147039632495E-4</v>
      </c>
      <c r="D112" s="15" t="s">
        <v>44</v>
      </c>
      <c r="E112" s="33"/>
    </row>
    <row r="113" spans="1:5" x14ac:dyDescent="0.2">
      <c r="A113" s="13" t="s">
        <v>29</v>
      </c>
      <c r="B113" s="21">
        <v>5152.8505958333326</v>
      </c>
      <c r="C113" s="15">
        <v>3.2837126241749999E-4</v>
      </c>
      <c r="D113" s="15" t="s">
        <v>44</v>
      </c>
      <c r="E113" s="33"/>
    </row>
    <row r="114" spans="1:5" x14ac:dyDescent="0.2">
      <c r="A114" s="13" t="s">
        <v>29</v>
      </c>
      <c r="B114" s="21">
        <v>0</v>
      </c>
      <c r="C114" s="15">
        <v>1.2678111505125E-5</v>
      </c>
      <c r="D114" s="15" t="s">
        <v>45</v>
      </c>
      <c r="E114" s="33"/>
    </row>
    <row r="115" spans="1:5" x14ac:dyDescent="0.2">
      <c r="A115" s="13" t="s">
        <v>29</v>
      </c>
      <c r="B115" s="21">
        <v>51.528505958333334</v>
      </c>
      <c r="C115" s="15">
        <v>0</v>
      </c>
      <c r="D115" s="15" t="s">
        <v>45</v>
      </c>
      <c r="E115" s="33"/>
    </row>
    <row r="116" spans="1:5" x14ac:dyDescent="0.2">
      <c r="A116" s="13" t="s">
        <v>29</v>
      </c>
      <c r="B116" s="21">
        <v>103.05701191666667</v>
      </c>
      <c r="C116" s="15">
        <v>1.8224137348749999E-5</v>
      </c>
      <c r="D116" s="15" t="s">
        <v>45</v>
      </c>
      <c r="E116" s="33"/>
    </row>
    <row r="117" spans="1:5" x14ac:dyDescent="0.2">
      <c r="A117" s="13" t="s">
        <v>29</v>
      </c>
      <c r="B117" s="21">
        <v>154.58551787499999</v>
      </c>
      <c r="C117" s="15">
        <v>1.6420383168125001E-5</v>
      </c>
      <c r="D117" s="15" t="s">
        <v>45</v>
      </c>
      <c r="E117" s="33"/>
    </row>
    <row r="118" spans="1:5" x14ac:dyDescent="0.2">
      <c r="A118" s="13" t="s">
        <v>29</v>
      </c>
      <c r="B118" s="21">
        <v>206.11402383333333</v>
      </c>
      <c r="C118" s="15">
        <v>1.1921363935375002E-5</v>
      </c>
      <c r="D118" s="15" t="s">
        <v>45</v>
      </c>
      <c r="E118" s="33"/>
    </row>
    <row r="119" spans="1:5" x14ac:dyDescent="0.2">
      <c r="A119" s="13" t="s">
        <v>29</v>
      </c>
      <c r="B119" s="21">
        <v>309.17103574999999</v>
      </c>
      <c r="C119" s="15">
        <v>1.4046476632624999E-5</v>
      </c>
      <c r="D119" s="15" t="s">
        <v>45</v>
      </c>
      <c r="E119" s="33"/>
    </row>
    <row r="120" spans="1:5" x14ac:dyDescent="0.2">
      <c r="A120" s="13" t="s">
        <v>29</v>
      </c>
      <c r="B120" s="21">
        <v>343.17984968249999</v>
      </c>
      <c r="C120" s="15">
        <v>0</v>
      </c>
      <c r="D120" s="15" t="s">
        <v>45</v>
      </c>
      <c r="E120" s="33"/>
    </row>
    <row r="121" spans="1:5" x14ac:dyDescent="0.2">
      <c r="A121" s="13" t="s">
        <v>29</v>
      </c>
      <c r="B121" s="21">
        <v>412.22804766666667</v>
      </c>
      <c r="C121" s="15">
        <v>1.5020918565125002E-5</v>
      </c>
      <c r="D121" s="15" t="s">
        <v>45</v>
      </c>
      <c r="E121" s="33"/>
    </row>
    <row r="122" spans="1:5" x14ac:dyDescent="0.2">
      <c r="A122" s="13" t="s">
        <v>29</v>
      </c>
      <c r="B122" s="21">
        <v>412.22804766666667</v>
      </c>
      <c r="C122" s="15">
        <v>0</v>
      </c>
      <c r="D122" s="15" t="s">
        <v>45</v>
      </c>
      <c r="E122" s="33"/>
    </row>
    <row r="123" spans="1:5" x14ac:dyDescent="0.2">
      <c r="A123" s="13" t="s">
        <v>29</v>
      </c>
      <c r="B123" s="21">
        <v>515.28505958333324</v>
      </c>
      <c r="C123" s="15">
        <v>1.3393393216749999E-5</v>
      </c>
      <c r="D123" s="15" t="s">
        <v>45</v>
      </c>
      <c r="E123" s="33"/>
    </row>
    <row r="124" spans="1:5" x14ac:dyDescent="0.2">
      <c r="A124" s="13" t="s">
        <v>29</v>
      </c>
      <c r="B124" s="21">
        <v>515.28505958333324</v>
      </c>
      <c r="C124" s="15">
        <v>0</v>
      </c>
      <c r="D124" s="15" t="s">
        <v>45</v>
      </c>
      <c r="E124" s="33"/>
    </row>
    <row r="125" spans="1:5" x14ac:dyDescent="0.2">
      <c r="A125" s="13" t="s">
        <v>29</v>
      </c>
      <c r="B125" s="21">
        <v>618.34207149999997</v>
      </c>
      <c r="C125" s="15">
        <v>1.6586245617750002E-5</v>
      </c>
      <c r="D125" s="15" t="s">
        <v>45</v>
      </c>
      <c r="E125" s="33"/>
    </row>
    <row r="126" spans="1:5" x14ac:dyDescent="0.2">
      <c r="A126" s="13" t="s">
        <v>29</v>
      </c>
      <c r="B126" s="21">
        <v>618.34207149999997</v>
      </c>
      <c r="C126" s="15">
        <v>0</v>
      </c>
      <c r="D126" s="15" t="s">
        <v>45</v>
      </c>
      <c r="E126" s="33"/>
    </row>
    <row r="127" spans="1:5" x14ac:dyDescent="0.2">
      <c r="A127" s="13" t="s">
        <v>29</v>
      </c>
      <c r="B127" s="21">
        <v>721.39908341666671</v>
      </c>
      <c r="C127" s="15">
        <v>1.4937987504125E-5</v>
      </c>
      <c r="D127" s="15" t="s">
        <v>45</v>
      </c>
      <c r="E127" s="33"/>
    </row>
    <row r="128" spans="1:5" x14ac:dyDescent="0.2">
      <c r="A128" s="13" t="s">
        <v>29</v>
      </c>
      <c r="B128" s="21">
        <v>721.39908341666671</v>
      </c>
      <c r="C128" s="15">
        <v>1.3999953555000001E-6</v>
      </c>
      <c r="D128" s="15" t="s">
        <v>45</v>
      </c>
      <c r="E128" s="33"/>
    </row>
    <row r="129" spans="1:5" x14ac:dyDescent="0.2">
      <c r="A129" s="13" t="s">
        <v>29</v>
      </c>
      <c r="B129" s="21">
        <v>824.45609533333334</v>
      </c>
      <c r="C129" s="15">
        <v>1.8431465328875001E-5</v>
      </c>
      <c r="D129" s="15" t="s">
        <v>45</v>
      </c>
      <c r="E129" s="33"/>
    </row>
    <row r="130" spans="1:5" x14ac:dyDescent="0.2">
      <c r="A130" s="13" t="s">
        <v>29</v>
      </c>
      <c r="B130" s="21">
        <v>824.45609533333334</v>
      </c>
      <c r="C130" s="15">
        <v>0</v>
      </c>
      <c r="D130" s="15" t="s">
        <v>45</v>
      </c>
      <c r="E130" s="33"/>
    </row>
    <row r="131" spans="1:5" x14ac:dyDescent="0.2">
      <c r="A131" s="13" t="s">
        <v>29</v>
      </c>
      <c r="B131" s="21">
        <v>1030.5701191666665</v>
      </c>
      <c r="C131" s="15">
        <v>1.38391486525E-5</v>
      </c>
      <c r="D131" s="15" t="s">
        <v>45</v>
      </c>
      <c r="E131" s="33"/>
    </row>
    <row r="132" spans="1:5" x14ac:dyDescent="0.2">
      <c r="A132" s="13" t="s">
        <v>29</v>
      </c>
      <c r="B132" s="21">
        <v>1030.5701191666665</v>
      </c>
      <c r="C132" s="15">
        <v>1.91303841375E-7</v>
      </c>
      <c r="D132" s="15" t="s">
        <v>45</v>
      </c>
      <c r="E132" s="33"/>
    </row>
    <row r="133" spans="1:5" x14ac:dyDescent="0.2">
      <c r="A133" s="13" t="s">
        <v>29</v>
      </c>
      <c r="B133" s="21">
        <v>1236.6841429999999</v>
      </c>
      <c r="C133" s="15">
        <v>1.6275253483750001E-5</v>
      </c>
      <c r="D133" s="15" t="s">
        <v>45</v>
      </c>
      <c r="E133" s="33"/>
    </row>
    <row r="134" spans="1:5" x14ac:dyDescent="0.2">
      <c r="A134" s="13" t="s">
        <v>29</v>
      </c>
      <c r="B134" s="21">
        <v>1236.6841429999999</v>
      </c>
      <c r="C134" s="15">
        <v>4.1130298047499998E-6</v>
      </c>
      <c r="D134" s="15" t="s">
        <v>45</v>
      </c>
      <c r="E134" s="33"/>
    </row>
    <row r="135" spans="1:5" x14ac:dyDescent="0.2">
      <c r="A135" s="13" t="s">
        <v>29</v>
      </c>
      <c r="B135" s="21">
        <v>1442.7981668333334</v>
      </c>
      <c r="C135" s="15">
        <v>1.6648443913500001E-5</v>
      </c>
      <c r="D135" s="15" t="s">
        <v>45</v>
      </c>
      <c r="E135" s="33"/>
    </row>
    <row r="136" spans="1:5" x14ac:dyDescent="0.2">
      <c r="A136" s="13" t="s">
        <v>29</v>
      </c>
      <c r="B136" s="21">
        <v>1442.7981668333334</v>
      </c>
      <c r="C136" s="15">
        <v>2.9130337857499998E-6</v>
      </c>
      <c r="D136" s="15" t="s">
        <v>45</v>
      </c>
      <c r="E136" s="33"/>
    </row>
    <row r="137" spans="1:5" x14ac:dyDescent="0.2">
      <c r="A137" s="13" t="s">
        <v>29</v>
      </c>
      <c r="B137" s="21">
        <v>1648.9121906666667</v>
      </c>
      <c r="C137" s="15">
        <v>2.1997508159624998E-5</v>
      </c>
      <c r="D137" s="15" t="s">
        <v>45</v>
      </c>
      <c r="E137" s="33"/>
    </row>
    <row r="138" spans="1:5" x14ac:dyDescent="0.2">
      <c r="A138" s="13" t="s">
        <v>29</v>
      </c>
      <c r="B138" s="21">
        <v>1648.9121906666667</v>
      </c>
      <c r="C138" s="15">
        <v>4.7217233093749999E-6</v>
      </c>
      <c r="D138" s="15" t="s">
        <v>45</v>
      </c>
      <c r="E138" s="33"/>
    </row>
    <row r="139" spans="1:5" x14ac:dyDescent="0.2">
      <c r="A139" s="13" t="s">
        <v>29</v>
      </c>
      <c r="B139" s="21">
        <v>1855.0262144999999</v>
      </c>
      <c r="C139" s="15">
        <v>2.0629143032125002E-5</v>
      </c>
      <c r="D139" s="15" t="s">
        <v>45</v>
      </c>
      <c r="E139" s="33"/>
    </row>
    <row r="140" spans="1:5" x14ac:dyDescent="0.2">
      <c r="A140" s="13" t="s">
        <v>29</v>
      </c>
      <c r="B140" s="21">
        <v>1855.0262144999999</v>
      </c>
      <c r="C140" s="15">
        <v>7.5999747870000002E-6</v>
      </c>
      <c r="D140" s="15" t="s">
        <v>45</v>
      </c>
      <c r="E140" s="33"/>
    </row>
    <row r="141" spans="1:5" x14ac:dyDescent="0.2">
      <c r="A141" s="13" t="s">
        <v>29</v>
      </c>
      <c r="B141" s="21">
        <v>2061.1402383333329</v>
      </c>
      <c r="C141" s="15">
        <v>2.2598759662375E-5</v>
      </c>
      <c r="D141" s="15" t="s">
        <v>45</v>
      </c>
      <c r="E141" s="33"/>
    </row>
    <row r="142" spans="1:5" x14ac:dyDescent="0.2">
      <c r="A142" s="13" t="s">
        <v>29</v>
      </c>
      <c r="B142" s="21">
        <v>2061.1402383333329</v>
      </c>
      <c r="C142" s="15">
        <v>8.6956232263750014E-6</v>
      </c>
      <c r="D142" s="15" t="s">
        <v>45</v>
      </c>
      <c r="E142" s="33"/>
    </row>
    <row r="143" spans="1:5" x14ac:dyDescent="0.2">
      <c r="A143" s="13" t="s">
        <v>29</v>
      </c>
      <c r="B143" s="21">
        <v>2267.2542621666666</v>
      </c>
      <c r="C143" s="15">
        <v>2.3469537441000004E-5</v>
      </c>
      <c r="D143" s="15" t="s">
        <v>45</v>
      </c>
      <c r="E143" s="33"/>
    </row>
    <row r="144" spans="1:5" x14ac:dyDescent="0.2">
      <c r="A144" s="13" t="s">
        <v>29</v>
      </c>
      <c r="B144" s="21">
        <v>2267.2542621666666</v>
      </c>
      <c r="C144" s="15">
        <v>1.503473287325E-5</v>
      </c>
      <c r="D144" s="15" t="s">
        <v>45</v>
      </c>
      <c r="E144" s="33"/>
    </row>
    <row r="145" spans="1:5" x14ac:dyDescent="0.2">
      <c r="A145" s="13" t="s">
        <v>29</v>
      </c>
      <c r="B145" s="21">
        <v>2473.3682859999999</v>
      </c>
      <c r="C145" s="15">
        <v>2.9015563284625004E-5</v>
      </c>
      <c r="D145" s="15" t="s">
        <v>45</v>
      </c>
      <c r="E145" s="33"/>
    </row>
    <row r="146" spans="1:5" x14ac:dyDescent="0.2">
      <c r="A146" s="13" t="s">
        <v>29</v>
      </c>
      <c r="B146" s="21">
        <v>2473.3682859999999</v>
      </c>
      <c r="C146" s="15">
        <v>1.9573848163999999E-5</v>
      </c>
      <c r="D146" s="15" t="s">
        <v>45</v>
      </c>
      <c r="E146" s="33"/>
    </row>
    <row r="147" spans="1:5" x14ac:dyDescent="0.2">
      <c r="A147" s="13" t="s">
        <v>29</v>
      </c>
      <c r="B147" s="21">
        <v>2679.4823098333336</v>
      </c>
      <c r="C147" s="15">
        <v>3.5961053731249996E-5</v>
      </c>
      <c r="D147" s="15" t="s">
        <v>45</v>
      </c>
      <c r="E147" s="33"/>
    </row>
    <row r="148" spans="1:5" x14ac:dyDescent="0.2">
      <c r="A148" s="13" t="s">
        <v>29</v>
      </c>
      <c r="B148" s="21">
        <v>2679.4823098333336</v>
      </c>
      <c r="C148" s="15">
        <v>2.5452089361500001E-5</v>
      </c>
      <c r="D148" s="15" t="s">
        <v>45</v>
      </c>
      <c r="E148" s="33"/>
    </row>
    <row r="149" spans="1:5" x14ac:dyDescent="0.2">
      <c r="A149" s="13" t="s">
        <v>29</v>
      </c>
      <c r="B149" s="21">
        <v>3091.7103575000001</v>
      </c>
      <c r="C149" s="15">
        <v>5.1075270067625003E-5</v>
      </c>
      <c r="D149" s="15" t="s">
        <v>45</v>
      </c>
      <c r="E149" s="33"/>
    </row>
    <row r="150" spans="1:5" x14ac:dyDescent="0.2">
      <c r="A150" s="13" t="s">
        <v>29</v>
      </c>
      <c r="B150" s="21">
        <v>3091.7103575000001</v>
      </c>
      <c r="C150" s="15">
        <v>3.5608577392124999E-5</v>
      </c>
      <c r="D150" s="15" t="s">
        <v>45</v>
      </c>
      <c r="E150" s="33"/>
    </row>
    <row r="151" spans="1:5" x14ac:dyDescent="0.2">
      <c r="A151" s="13" t="s">
        <v>29</v>
      </c>
      <c r="B151" s="21">
        <v>3503.9384051666666</v>
      </c>
      <c r="C151" s="15">
        <v>5.4081527253749998E-5</v>
      </c>
      <c r="D151" s="15" t="s">
        <v>45</v>
      </c>
      <c r="E151" s="33"/>
    </row>
    <row r="152" spans="1:5" x14ac:dyDescent="0.2">
      <c r="A152" s="13" t="s">
        <v>29</v>
      </c>
      <c r="B152" s="21">
        <v>3503.9384051666666</v>
      </c>
      <c r="C152" s="15">
        <v>4.2878118450000004E-5</v>
      </c>
      <c r="D152" s="15" t="s">
        <v>45</v>
      </c>
      <c r="E152" s="33"/>
    </row>
    <row r="153" spans="1:5" x14ac:dyDescent="0.2">
      <c r="A153" s="13" t="s">
        <v>29</v>
      </c>
      <c r="B153" s="21">
        <v>3916.1664528333331</v>
      </c>
      <c r="C153" s="15">
        <v>7.3041679079375002E-5</v>
      </c>
      <c r="D153" s="15" t="s">
        <v>45</v>
      </c>
      <c r="E153" s="33"/>
    </row>
    <row r="154" spans="1:5" x14ac:dyDescent="0.2">
      <c r="A154" s="13" t="s">
        <v>29</v>
      </c>
      <c r="B154" s="21">
        <v>3916.1664528333331</v>
      </c>
      <c r="C154" s="15">
        <v>6.4269351960375006E-5</v>
      </c>
      <c r="D154" s="15" t="s">
        <v>45</v>
      </c>
      <c r="E154" s="33"/>
    </row>
    <row r="155" spans="1:5" x14ac:dyDescent="0.2">
      <c r="A155" s="13" t="s">
        <v>29</v>
      </c>
      <c r="B155" s="21">
        <v>4328.3945004999996</v>
      </c>
      <c r="C155" s="15">
        <v>8.6248477408874997E-5</v>
      </c>
      <c r="D155" s="15" t="s">
        <v>45</v>
      </c>
      <c r="E155" s="33"/>
    </row>
    <row r="156" spans="1:5" x14ac:dyDescent="0.2">
      <c r="A156" s="13" t="s">
        <v>29</v>
      </c>
      <c r="B156" s="21">
        <v>4328.3945004999996</v>
      </c>
      <c r="C156" s="15">
        <v>9.3904036398124993E-5</v>
      </c>
      <c r="D156" s="15" t="s">
        <v>45</v>
      </c>
      <c r="E156" s="33"/>
    </row>
    <row r="157" spans="1:5" x14ac:dyDescent="0.2">
      <c r="A157" s="13" t="s">
        <v>29</v>
      </c>
      <c r="B157" s="21">
        <v>4740.6225481666661</v>
      </c>
      <c r="C157" s="15">
        <v>1.0988387729950001E-4</v>
      </c>
      <c r="D157" s="15" t="s">
        <v>45</v>
      </c>
      <c r="E157" s="33"/>
    </row>
    <row r="158" spans="1:5" x14ac:dyDescent="0.2">
      <c r="A158" s="13" t="s">
        <v>29</v>
      </c>
      <c r="B158" s="21">
        <v>4740.6225481666661</v>
      </c>
      <c r="C158" s="15">
        <v>1.0351270004525001E-4</v>
      </c>
      <c r="D158" s="15" t="s">
        <v>45</v>
      </c>
      <c r="E158" s="33"/>
    </row>
    <row r="159" spans="1:5" x14ac:dyDescent="0.2">
      <c r="A159" s="13" t="s">
        <v>29</v>
      </c>
      <c r="B159" s="21">
        <v>5152.8505958333326</v>
      </c>
      <c r="C159" s="15">
        <v>1.21929638154E-4</v>
      </c>
      <c r="D159" s="15" t="s">
        <v>45</v>
      </c>
      <c r="E159" s="33"/>
    </row>
    <row r="160" spans="1:5" x14ac:dyDescent="0.2">
      <c r="A160" s="13" t="s">
        <v>29</v>
      </c>
      <c r="B160" s="21">
        <v>5152.8505958333326</v>
      </c>
      <c r="C160" s="15">
        <v>1.3000826422012501E-4</v>
      </c>
      <c r="D160" s="15" t="s">
        <v>45</v>
      </c>
      <c r="E160" s="33"/>
    </row>
    <row r="161" spans="1:5" x14ac:dyDescent="0.2">
      <c r="A161" s="13" t="s">
        <v>29</v>
      </c>
      <c r="B161" s="21">
        <v>0</v>
      </c>
      <c r="C161" s="15">
        <v>0</v>
      </c>
      <c r="D161" s="15" t="s">
        <v>57</v>
      </c>
      <c r="E161" s="33"/>
    </row>
    <row r="162" spans="1:5" x14ac:dyDescent="0.2">
      <c r="A162" s="13" t="s">
        <v>29</v>
      </c>
      <c r="B162" s="21">
        <v>51.528505958333334</v>
      </c>
      <c r="C162" s="15">
        <v>0</v>
      </c>
      <c r="D162" s="15" t="s">
        <v>57</v>
      </c>
      <c r="E162" s="33"/>
    </row>
    <row r="163" spans="1:5" x14ac:dyDescent="0.2">
      <c r="A163" s="13" t="s">
        <v>29</v>
      </c>
      <c r="B163" s="21">
        <v>103.05701191666667</v>
      </c>
      <c r="C163" s="15">
        <v>3.4525553304000005E-6</v>
      </c>
      <c r="D163" s="15" t="s">
        <v>57</v>
      </c>
      <c r="E163" s="33"/>
    </row>
    <row r="164" spans="1:5" x14ac:dyDescent="0.2">
      <c r="A164" s="13" t="s">
        <v>29</v>
      </c>
      <c r="B164" s="21">
        <v>154.58551787499999</v>
      </c>
      <c r="C164" s="15">
        <v>2.3049183524400004E-6</v>
      </c>
      <c r="D164" s="15" t="s">
        <v>57</v>
      </c>
      <c r="E164" s="33"/>
    </row>
    <row r="165" spans="1:5" x14ac:dyDescent="0.2">
      <c r="A165" s="13" t="s">
        <v>29</v>
      </c>
      <c r="B165" s="21">
        <v>206.11402383333333</v>
      </c>
      <c r="C165" s="15">
        <v>0</v>
      </c>
      <c r="D165" s="15" t="s">
        <v>57</v>
      </c>
      <c r="E165" s="33"/>
    </row>
    <row r="166" spans="1:5" x14ac:dyDescent="0.2">
      <c r="A166" s="13" t="s">
        <v>29</v>
      </c>
      <c r="B166" s="21">
        <v>309.17103574999999</v>
      </c>
      <c r="C166" s="15">
        <v>0</v>
      </c>
      <c r="D166" s="15" t="s">
        <v>57</v>
      </c>
      <c r="E166" s="33"/>
    </row>
    <row r="167" spans="1:5" x14ac:dyDescent="0.2">
      <c r="A167" s="13" t="s">
        <v>29</v>
      </c>
      <c r="B167" s="21">
        <v>343.17984968249999</v>
      </c>
      <c r="C167" s="15">
        <v>0</v>
      </c>
      <c r="D167" s="15" t="s">
        <v>57</v>
      </c>
      <c r="E167" s="33"/>
    </row>
    <row r="168" spans="1:5" x14ac:dyDescent="0.2">
      <c r="A168" s="13" t="s">
        <v>29</v>
      </c>
      <c r="B168" s="21">
        <v>412.22804766666667</v>
      </c>
      <c r="C168" s="15">
        <v>1.0666274290760002E-5</v>
      </c>
      <c r="D168" s="15" t="s">
        <v>57</v>
      </c>
      <c r="E168" s="33"/>
    </row>
    <row r="169" spans="1:5" x14ac:dyDescent="0.2">
      <c r="A169" s="13" t="s">
        <v>29</v>
      </c>
      <c r="B169" s="21">
        <v>412.22804766666667</v>
      </c>
      <c r="C169" s="15">
        <v>0</v>
      </c>
      <c r="D169" s="15" t="s">
        <v>57</v>
      </c>
      <c r="E169" s="33"/>
    </row>
    <row r="170" spans="1:5" x14ac:dyDescent="0.2">
      <c r="A170" s="13" t="s">
        <v>29</v>
      </c>
      <c r="B170" s="21">
        <v>515.28505958333324</v>
      </c>
      <c r="C170" s="15">
        <v>0</v>
      </c>
      <c r="D170" s="15" t="s">
        <v>57</v>
      </c>
      <c r="E170" s="33"/>
    </row>
    <row r="171" spans="1:5" x14ac:dyDescent="0.2">
      <c r="A171" s="13" t="s">
        <v>29</v>
      </c>
      <c r="B171" s="21">
        <v>515.28505958333324</v>
      </c>
      <c r="C171" s="15">
        <v>0</v>
      </c>
      <c r="D171" s="15" t="s">
        <v>57</v>
      </c>
      <c r="E171" s="33"/>
    </row>
    <row r="172" spans="1:5" x14ac:dyDescent="0.2">
      <c r="A172" s="13" t="s">
        <v>29</v>
      </c>
      <c r="B172" s="21">
        <v>618.34207149999997</v>
      </c>
      <c r="C172" s="15">
        <v>6.3168259118800002E-6</v>
      </c>
      <c r="D172" s="15" t="s">
        <v>57</v>
      </c>
      <c r="E172" s="33"/>
    </row>
    <row r="173" spans="1:5" x14ac:dyDescent="0.2">
      <c r="A173" s="13" t="s">
        <v>29</v>
      </c>
      <c r="B173" s="21">
        <v>618.34207149999997</v>
      </c>
      <c r="C173" s="15">
        <v>0</v>
      </c>
      <c r="D173" s="15" t="s">
        <v>57</v>
      </c>
      <c r="E173" s="33"/>
    </row>
    <row r="174" spans="1:5" x14ac:dyDescent="0.2">
      <c r="A174" s="13" t="s">
        <v>29</v>
      </c>
      <c r="B174" s="21">
        <v>721.39908341666671</v>
      </c>
      <c r="C174" s="15">
        <v>5.8249814449200008E-6</v>
      </c>
      <c r="D174" s="15" t="s">
        <v>57</v>
      </c>
      <c r="E174" s="33"/>
    </row>
    <row r="175" spans="1:5" x14ac:dyDescent="0.2">
      <c r="A175" s="13" t="s">
        <v>29</v>
      </c>
      <c r="B175" s="21">
        <v>721.39908341666671</v>
      </c>
      <c r="C175" s="15">
        <v>8.2413700424000011E-6</v>
      </c>
      <c r="D175" s="15" t="s">
        <v>57</v>
      </c>
      <c r="E175" s="33"/>
    </row>
    <row r="176" spans="1:5" x14ac:dyDescent="0.2">
      <c r="A176" s="13" t="s">
        <v>29</v>
      </c>
      <c r="B176" s="21">
        <v>824.45609533333334</v>
      </c>
      <c r="C176" s="15">
        <v>2.9703549251200003E-6</v>
      </c>
      <c r="D176" s="15" t="s">
        <v>57</v>
      </c>
      <c r="E176" s="33"/>
    </row>
    <row r="177" spans="1:5" x14ac:dyDescent="0.2">
      <c r="A177" s="13" t="s">
        <v>29</v>
      </c>
      <c r="B177" s="21">
        <v>824.45609533333334</v>
      </c>
      <c r="C177" s="15">
        <v>2.2958103696000004E-6</v>
      </c>
      <c r="D177" s="15" t="s">
        <v>57</v>
      </c>
      <c r="E177" s="33"/>
    </row>
    <row r="178" spans="1:5" x14ac:dyDescent="0.2">
      <c r="A178" s="13" t="s">
        <v>29</v>
      </c>
      <c r="B178" s="21">
        <v>1030.5701191666665</v>
      </c>
      <c r="C178" s="15">
        <v>3.6165033744400003E-6</v>
      </c>
      <c r="D178" s="15" t="s">
        <v>57</v>
      </c>
      <c r="E178" s="33"/>
    </row>
    <row r="179" spans="1:5" x14ac:dyDescent="0.2">
      <c r="A179" s="13" t="s">
        <v>29</v>
      </c>
      <c r="B179" s="21">
        <v>1030.5701191666665</v>
      </c>
      <c r="C179" s="15">
        <v>8.928150990880001E-6</v>
      </c>
      <c r="D179" s="15" t="s">
        <v>57</v>
      </c>
      <c r="E179" s="33"/>
    </row>
    <row r="180" spans="1:5" x14ac:dyDescent="0.2">
      <c r="A180" s="13" t="s">
        <v>29</v>
      </c>
      <c r="B180" s="21">
        <v>1236.6841429999999</v>
      </c>
      <c r="C180" s="15">
        <v>1.3434104925120002E-5</v>
      </c>
      <c r="D180" s="15" t="s">
        <v>57</v>
      </c>
      <c r="E180" s="33"/>
    </row>
    <row r="181" spans="1:5" x14ac:dyDescent="0.2">
      <c r="A181" s="13" t="s">
        <v>29</v>
      </c>
      <c r="B181" s="21">
        <v>1236.6841429999999</v>
      </c>
      <c r="C181" s="15">
        <v>3.8911040177240001E-5</v>
      </c>
      <c r="D181" s="15" t="s">
        <v>57</v>
      </c>
      <c r="E181" s="33"/>
    </row>
    <row r="182" spans="1:5" x14ac:dyDescent="0.2">
      <c r="A182" s="13" t="s">
        <v>29</v>
      </c>
      <c r="B182" s="21">
        <v>1442.7981668333334</v>
      </c>
      <c r="C182" s="15">
        <v>1.4340641700440001E-5</v>
      </c>
      <c r="D182" s="15" t="s">
        <v>57</v>
      </c>
      <c r="E182" s="33"/>
    </row>
    <row r="183" spans="1:5" x14ac:dyDescent="0.2">
      <c r="A183" s="13" t="s">
        <v>29</v>
      </c>
      <c r="B183" s="21">
        <v>1442.7981668333334</v>
      </c>
      <c r="C183" s="15">
        <v>2.0044189401280002E-5</v>
      </c>
      <c r="D183" s="15" t="s">
        <v>57</v>
      </c>
      <c r="E183" s="33"/>
    </row>
    <row r="184" spans="1:5" x14ac:dyDescent="0.2">
      <c r="A184" s="13" t="s">
        <v>29</v>
      </c>
      <c r="B184" s="21">
        <v>1648.9121906666667</v>
      </c>
      <c r="C184" s="15">
        <v>3.9829758096920005E-5</v>
      </c>
      <c r="D184" s="15" t="s">
        <v>57</v>
      </c>
      <c r="E184" s="33"/>
    </row>
    <row r="185" spans="1:5" x14ac:dyDescent="0.2">
      <c r="A185" s="13" t="s">
        <v>29</v>
      </c>
      <c r="B185" s="21">
        <v>1648.9121906666667</v>
      </c>
      <c r="C185" s="15">
        <v>3.4525454191360004E-5</v>
      </c>
      <c r="D185" s="15" t="s">
        <v>57</v>
      </c>
      <c r="E185" s="33"/>
    </row>
    <row r="186" spans="1:5" x14ac:dyDescent="0.2">
      <c r="A186" s="13" t="s">
        <v>29</v>
      </c>
      <c r="B186" s="21">
        <v>1855.0262144999999</v>
      </c>
      <c r="C186" s="15">
        <v>3.6705099189440002E-5</v>
      </c>
      <c r="D186" s="15" t="s">
        <v>57</v>
      </c>
      <c r="E186" s="33"/>
    </row>
    <row r="187" spans="1:5" x14ac:dyDescent="0.2">
      <c r="A187" s="13" t="s">
        <v>29</v>
      </c>
      <c r="B187" s="21">
        <v>1855.0262144999999</v>
      </c>
      <c r="C187" s="15">
        <v>4.8359182620320005E-5</v>
      </c>
      <c r="D187" s="15" t="s">
        <v>57</v>
      </c>
      <c r="E187" s="33"/>
    </row>
    <row r="188" spans="1:5" x14ac:dyDescent="0.2">
      <c r="A188" s="13" t="s">
        <v>29</v>
      </c>
      <c r="B188" s="21">
        <v>2061.1402383333329</v>
      </c>
      <c r="C188" s="15">
        <v>6.4335185559480013E-5</v>
      </c>
      <c r="D188" s="15" t="s">
        <v>57</v>
      </c>
      <c r="E188" s="33"/>
    </row>
    <row r="189" spans="1:5" x14ac:dyDescent="0.2">
      <c r="A189" s="13" t="s">
        <v>29</v>
      </c>
      <c r="B189" s="21">
        <v>2061.1402383333329</v>
      </c>
      <c r="C189" s="15">
        <v>5.4932656360560008E-5</v>
      </c>
      <c r="D189" s="15" t="s">
        <v>57</v>
      </c>
      <c r="E189" s="33"/>
    </row>
    <row r="190" spans="1:5" x14ac:dyDescent="0.2">
      <c r="A190" s="13" t="s">
        <v>29</v>
      </c>
      <c r="B190" s="21">
        <v>2267.2542621666666</v>
      </c>
      <c r="C190" s="15">
        <v>5.8471627867840012E-5</v>
      </c>
      <c r="D190" s="15" t="s">
        <v>57</v>
      </c>
      <c r="E190" s="33"/>
    </row>
    <row r="191" spans="1:5" x14ac:dyDescent="0.2">
      <c r="A191" s="13" t="s">
        <v>29</v>
      </c>
      <c r="B191" s="21">
        <v>2267.2542621666666</v>
      </c>
      <c r="C191" s="15">
        <v>7.4868923146600018E-5</v>
      </c>
      <c r="D191" s="15" t="s">
        <v>57</v>
      </c>
      <c r="E191" s="33"/>
    </row>
    <row r="192" spans="1:5" x14ac:dyDescent="0.2">
      <c r="A192" s="13" t="s">
        <v>29</v>
      </c>
      <c r="B192" s="21">
        <v>2473.3682859999999</v>
      </c>
      <c r="C192" s="15">
        <v>8.9207085356840019E-5</v>
      </c>
      <c r="D192" s="15" t="s">
        <v>57</v>
      </c>
      <c r="E192" s="33"/>
    </row>
    <row r="193" spans="1:5" x14ac:dyDescent="0.2">
      <c r="A193" s="13" t="s">
        <v>29</v>
      </c>
      <c r="B193" s="21">
        <v>2473.3682859999999</v>
      </c>
      <c r="C193" s="15">
        <v>9.0046779697160011E-5</v>
      </c>
      <c r="D193" s="15" t="s">
        <v>57</v>
      </c>
      <c r="E193" s="33"/>
    </row>
    <row r="194" spans="1:5" x14ac:dyDescent="0.2">
      <c r="A194" s="13" t="s">
        <v>29</v>
      </c>
      <c r="B194" s="21">
        <v>2679.4823098333336</v>
      </c>
      <c r="C194" s="15">
        <v>9.029685829956001E-5</v>
      </c>
      <c r="D194" s="15" t="s">
        <v>57</v>
      </c>
      <c r="E194" s="33"/>
    </row>
    <row r="195" spans="1:5" x14ac:dyDescent="0.2">
      <c r="A195" s="13" t="s">
        <v>29</v>
      </c>
      <c r="B195" s="21">
        <v>2679.4823098333336</v>
      </c>
      <c r="C195" s="15">
        <v>1.1162150934484001E-4</v>
      </c>
      <c r="D195" s="15" t="s">
        <v>57</v>
      </c>
      <c r="E195" s="33"/>
    </row>
    <row r="196" spans="1:5" x14ac:dyDescent="0.2">
      <c r="A196" s="13" t="s">
        <v>29</v>
      </c>
      <c r="B196" s="21">
        <v>3091.7103575000001</v>
      </c>
      <c r="C196" s="15">
        <v>1.4524842274008E-4</v>
      </c>
      <c r="D196" s="15" t="s">
        <v>57</v>
      </c>
      <c r="E196" s="33"/>
    </row>
    <row r="197" spans="1:5" x14ac:dyDescent="0.2">
      <c r="A197" s="13" t="s">
        <v>29</v>
      </c>
      <c r="B197" s="21">
        <v>3091.7103575000001</v>
      </c>
      <c r="C197" s="15">
        <v>1.3728749057320003E-4</v>
      </c>
      <c r="D197" s="15" t="s">
        <v>57</v>
      </c>
      <c r="E197" s="33"/>
    </row>
    <row r="198" spans="1:5" x14ac:dyDescent="0.2">
      <c r="A198" s="13" t="s">
        <v>29</v>
      </c>
      <c r="B198" s="21">
        <v>3503.9384051666666</v>
      </c>
      <c r="C198" s="15">
        <v>1.7268562888103999E-4</v>
      </c>
      <c r="D198" s="15" t="s">
        <v>57</v>
      </c>
      <c r="E198" s="33"/>
    </row>
    <row r="199" spans="1:5" x14ac:dyDescent="0.2">
      <c r="A199" s="13" t="s">
        <v>29</v>
      </c>
      <c r="B199" s="21">
        <v>3503.9384051666666</v>
      </c>
      <c r="C199" s="15">
        <v>1.6745679188436002E-4</v>
      </c>
      <c r="D199" s="15" t="s">
        <v>57</v>
      </c>
      <c r="E199" s="33"/>
    </row>
    <row r="200" spans="1:5" x14ac:dyDescent="0.2">
      <c r="A200" s="13" t="s">
        <v>29</v>
      </c>
      <c r="B200" s="21">
        <v>3916.1664528333331</v>
      </c>
      <c r="C200" s="15">
        <v>2.2439680634360004E-4</v>
      </c>
      <c r="D200" s="15" t="s">
        <v>57</v>
      </c>
      <c r="E200" s="33"/>
    </row>
    <row r="201" spans="1:5" x14ac:dyDescent="0.2">
      <c r="A201" s="13" t="s">
        <v>29</v>
      </c>
      <c r="B201" s="21">
        <v>3916.1664528333331</v>
      </c>
      <c r="C201" s="15">
        <v>1.9435897861908003E-4</v>
      </c>
      <c r="D201" s="15" t="s">
        <v>57</v>
      </c>
      <c r="E201" s="33"/>
    </row>
    <row r="202" spans="1:5" x14ac:dyDescent="0.2">
      <c r="A202" s="13" t="s">
        <v>29</v>
      </c>
      <c r="B202" s="21">
        <v>4328.3945004999996</v>
      </c>
      <c r="C202" s="15">
        <v>2.4822715317180001E-4</v>
      </c>
      <c r="D202" s="15" t="s">
        <v>57</v>
      </c>
      <c r="E202" s="33"/>
    </row>
    <row r="203" spans="1:5" x14ac:dyDescent="0.2">
      <c r="A203" s="13" t="s">
        <v>29</v>
      </c>
      <c r="B203" s="21">
        <v>4328.3945004999996</v>
      </c>
      <c r="C203" s="15">
        <v>2.8897775642692001E-4</v>
      </c>
      <c r="D203" s="15" t="s">
        <v>57</v>
      </c>
      <c r="E203" s="33"/>
    </row>
    <row r="204" spans="1:5" x14ac:dyDescent="0.2">
      <c r="A204" s="13" t="s">
        <v>29</v>
      </c>
      <c r="B204" s="21">
        <v>4740.6225481666661</v>
      </c>
      <c r="C204" s="15">
        <v>3.0113418792072005E-4</v>
      </c>
      <c r="D204" s="15" t="s">
        <v>57</v>
      </c>
      <c r="E204" s="33"/>
    </row>
    <row r="205" spans="1:5" x14ac:dyDescent="0.2">
      <c r="A205" s="13" t="s">
        <v>29</v>
      </c>
      <c r="B205" s="21">
        <v>4740.6225481666661</v>
      </c>
      <c r="C205" s="15">
        <v>2.8726080439056003E-4</v>
      </c>
      <c r="D205" s="15" t="s">
        <v>57</v>
      </c>
      <c r="E205" s="33"/>
    </row>
    <row r="206" spans="1:5" x14ac:dyDescent="0.2">
      <c r="A206" s="13" t="s">
        <v>29</v>
      </c>
      <c r="B206" s="21">
        <v>5152.8505958333326</v>
      </c>
      <c r="C206" s="15">
        <v>3.4080964170044004E-4</v>
      </c>
      <c r="D206" s="15" t="s">
        <v>57</v>
      </c>
      <c r="E206" s="33"/>
    </row>
    <row r="207" spans="1:5" x14ac:dyDescent="0.2">
      <c r="A207" s="13" t="s">
        <v>29</v>
      </c>
      <c r="B207" s="21">
        <v>5152.8505958333326</v>
      </c>
      <c r="C207" s="15">
        <v>3.4293910824580002E-4</v>
      </c>
      <c r="D207" s="15" t="s">
        <v>57</v>
      </c>
      <c r="E207" s="33"/>
    </row>
    <row r="208" spans="1:5" x14ac:dyDescent="0.2">
      <c r="A208" s="13" t="s">
        <v>29</v>
      </c>
      <c r="B208" s="21">
        <v>0</v>
      </c>
      <c r="C208" s="15">
        <v>2.0485303162E-6</v>
      </c>
      <c r="D208" s="15" t="s">
        <v>42</v>
      </c>
      <c r="E208" s="33"/>
    </row>
    <row r="209" spans="1:5" x14ac:dyDescent="0.2">
      <c r="A209" s="13" t="s">
        <v>29</v>
      </c>
      <c r="B209" s="21">
        <v>51.528505958333334</v>
      </c>
      <c r="C209" s="15">
        <v>0</v>
      </c>
      <c r="D209" s="15" t="s">
        <v>42</v>
      </c>
      <c r="E209" s="33"/>
    </row>
    <row r="210" spans="1:5" x14ac:dyDescent="0.2">
      <c r="A210" s="13" t="s">
        <v>29</v>
      </c>
      <c r="B210" s="21">
        <v>103.05701191666667</v>
      </c>
      <c r="C210" s="15">
        <v>6.3458918173999994E-6</v>
      </c>
      <c r="D210" s="15" t="s">
        <v>42</v>
      </c>
      <c r="E210" s="33"/>
    </row>
    <row r="211" spans="1:5" x14ac:dyDescent="0.2">
      <c r="A211" s="13" t="s">
        <v>29</v>
      </c>
      <c r="B211" s="21">
        <v>154.58551787499999</v>
      </c>
      <c r="C211" s="15">
        <v>7.1015720344799999E-6</v>
      </c>
      <c r="D211" s="15" t="s">
        <v>42</v>
      </c>
      <c r="E211" s="33"/>
    </row>
    <row r="212" spans="1:5" x14ac:dyDescent="0.2">
      <c r="A212" s="13" t="s">
        <v>29</v>
      </c>
      <c r="B212" s="21">
        <v>206.11402383333333</v>
      </c>
      <c r="C212" s="15">
        <v>7.2654543782799991E-6</v>
      </c>
      <c r="D212" s="15" t="s">
        <v>42</v>
      </c>
      <c r="E212" s="33"/>
    </row>
    <row r="213" spans="1:5" x14ac:dyDescent="0.2">
      <c r="A213" s="13" t="s">
        <v>29</v>
      </c>
      <c r="B213" s="21">
        <v>309.17103574999999</v>
      </c>
      <c r="C213" s="15">
        <v>2.0885904899599999E-5</v>
      </c>
      <c r="D213" s="15" t="s">
        <v>42</v>
      </c>
      <c r="E213" s="33"/>
    </row>
    <row r="214" spans="1:5" x14ac:dyDescent="0.2">
      <c r="A214" s="13" t="s">
        <v>29</v>
      </c>
      <c r="B214" s="21">
        <v>343.17984968249999</v>
      </c>
      <c r="C214" s="15">
        <v>1.09451817368E-6</v>
      </c>
      <c r="D214" s="15" t="s">
        <v>42</v>
      </c>
      <c r="E214" s="33"/>
    </row>
    <row r="215" spans="1:5" x14ac:dyDescent="0.2">
      <c r="A215" s="13" t="s">
        <v>29</v>
      </c>
      <c r="B215" s="21">
        <v>412.22804766666667</v>
      </c>
      <c r="C215" s="15">
        <v>5.0493997027880001E-5</v>
      </c>
      <c r="D215" s="15" t="s">
        <v>42</v>
      </c>
      <c r="E215" s="33"/>
    </row>
    <row r="216" spans="1:5" x14ac:dyDescent="0.2">
      <c r="A216" s="13" t="s">
        <v>29</v>
      </c>
      <c r="B216" s="21">
        <v>412.22804766666667</v>
      </c>
      <c r="C216" s="15">
        <v>4.3486829144840003E-5</v>
      </c>
      <c r="D216" s="15" t="s">
        <v>42</v>
      </c>
      <c r="E216" s="33"/>
    </row>
    <row r="217" spans="1:5" x14ac:dyDescent="0.2">
      <c r="A217" s="13" t="s">
        <v>29</v>
      </c>
      <c r="B217" s="21">
        <v>515.28505958333324</v>
      </c>
      <c r="C217" s="15">
        <v>7.5322184949200006E-5</v>
      </c>
      <c r="D217" s="15" t="s">
        <v>42</v>
      </c>
      <c r="E217" s="33"/>
    </row>
    <row r="218" spans="1:5" x14ac:dyDescent="0.2">
      <c r="A218" s="13" t="s">
        <v>29</v>
      </c>
      <c r="B218" s="21">
        <v>515.28505958333324</v>
      </c>
      <c r="C218" s="15">
        <v>8.9639012678319996E-5</v>
      </c>
      <c r="D218" s="15" t="s">
        <v>42</v>
      </c>
      <c r="E218" s="33"/>
    </row>
    <row r="219" spans="1:5" x14ac:dyDescent="0.2">
      <c r="A219" s="13" t="s">
        <v>29</v>
      </c>
      <c r="B219" s="21">
        <v>618.34207149999997</v>
      </c>
      <c r="C219" s="15">
        <v>1.1480874544588001E-4</v>
      </c>
      <c r="D219" s="15" t="s">
        <v>42</v>
      </c>
      <c r="E219" s="33"/>
    </row>
    <row r="220" spans="1:5" x14ac:dyDescent="0.2">
      <c r="A220" s="13" t="s">
        <v>29</v>
      </c>
      <c r="B220" s="21">
        <v>618.34207149999997</v>
      </c>
      <c r="C220" s="15">
        <v>3.3224707639716001E-4</v>
      </c>
      <c r="D220" s="15" t="s">
        <v>42</v>
      </c>
      <c r="E220" s="33"/>
    </row>
    <row r="221" spans="1:5" x14ac:dyDescent="0.2">
      <c r="A221" s="13" t="s">
        <v>29</v>
      </c>
      <c r="B221" s="21">
        <v>721.39908341666671</v>
      </c>
      <c r="C221" s="15">
        <v>1.4890539480356E-4</v>
      </c>
      <c r="D221" s="15" t="s">
        <v>42</v>
      </c>
      <c r="E221" s="33"/>
    </row>
    <row r="222" spans="1:5" x14ac:dyDescent="0.2">
      <c r="A222" s="13" t="s">
        <v>29</v>
      </c>
      <c r="B222" s="21">
        <v>721.39908341666671</v>
      </c>
      <c r="C222" s="15">
        <v>1.4571280082048001E-4</v>
      </c>
      <c r="D222" s="15" t="s">
        <v>42</v>
      </c>
      <c r="E222" s="33"/>
    </row>
    <row r="223" spans="1:5" x14ac:dyDescent="0.2">
      <c r="A223" s="13" t="s">
        <v>29</v>
      </c>
      <c r="B223" s="21">
        <v>824.45609533333334</v>
      </c>
      <c r="C223" s="15">
        <v>1.8165456688584001E-4</v>
      </c>
      <c r="D223" s="15" t="s">
        <v>42</v>
      </c>
      <c r="E223" s="33"/>
    </row>
    <row r="224" spans="1:5" x14ac:dyDescent="0.2">
      <c r="A224" s="13" t="s">
        <v>29</v>
      </c>
      <c r="B224" s="21">
        <v>824.45609533333334</v>
      </c>
      <c r="C224" s="15">
        <v>1.6272850468791999E-4</v>
      </c>
      <c r="D224" s="15" t="s">
        <v>42</v>
      </c>
      <c r="E224" s="33"/>
    </row>
    <row r="225" spans="1:5" x14ac:dyDescent="0.2">
      <c r="A225" s="13" t="s">
        <v>29</v>
      </c>
      <c r="B225" s="21">
        <v>1030.5701191666665</v>
      </c>
      <c r="C225" s="15">
        <v>2.4995712076871998E-4</v>
      </c>
      <c r="D225" s="15" t="s">
        <v>42</v>
      </c>
      <c r="E225" s="33"/>
    </row>
    <row r="226" spans="1:5" x14ac:dyDescent="0.2">
      <c r="A226" s="13" t="s">
        <v>29</v>
      </c>
      <c r="B226" s="21">
        <v>1030.5701191666665</v>
      </c>
      <c r="C226" s="15">
        <v>2.1512349574839997E-4</v>
      </c>
      <c r="D226" s="15" t="s">
        <v>42</v>
      </c>
      <c r="E226" s="33"/>
    </row>
    <row r="227" spans="1:5" x14ac:dyDescent="0.2">
      <c r="A227" s="13" t="s">
        <v>29</v>
      </c>
      <c r="B227" s="21">
        <v>1236.6841429999999</v>
      </c>
      <c r="C227" s="15">
        <v>3.3320939420451999E-4</v>
      </c>
      <c r="D227" s="15" t="s">
        <v>42</v>
      </c>
      <c r="E227" s="33"/>
    </row>
    <row r="228" spans="1:5" x14ac:dyDescent="0.2">
      <c r="A228" s="13" t="s">
        <v>29</v>
      </c>
      <c r="B228" s="21">
        <v>1236.6841429999999</v>
      </c>
      <c r="C228" s="15">
        <v>2.8841567686708E-4</v>
      </c>
      <c r="D228" s="15" t="s">
        <v>42</v>
      </c>
      <c r="E228" s="33"/>
    </row>
    <row r="229" spans="1:5" x14ac:dyDescent="0.2">
      <c r="A229" s="13" t="s">
        <v>29</v>
      </c>
      <c r="B229" s="21">
        <v>1442.7981668333334</v>
      </c>
      <c r="C229" s="15">
        <v>3.9748772409751998E-4</v>
      </c>
      <c r="D229" s="15" t="s">
        <v>42</v>
      </c>
      <c r="E229" s="33"/>
    </row>
    <row r="230" spans="1:5" x14ac:dyDescent="0.2">
      <c r="A230" s="13" t="s">
        <v>29</v>
      </c>
      <c r="B230" s="21">
        <v>1442.7981668333334</v>
      </c>
      <c r="C230" s="15">
        <v>3.1802847416692001E-4</v>
      </c>
      <c r="D230" s="15" t="s">
        <v>42</v>
      </c>
      <c r="E230" s="33"/>
    </row>
    <row r="231" spans="1:5" x14ac:dyDescent="0.2">
      <c r="A231" s="13" t="s">
        <v>29</v>
      </c>
      <c r="B231" s="21">
        <v>1648.9121906666667</v>
      </c>
      <c r="C231" s="15">
        <v>4.5253401067168005E-4</v>
      </c>
      <c r="D231" s="15" t="s">
        <v>42</v>
      </c>
      <c r="E231" s="33"/>
    </row>
    <row r="232" spans="1:5" x14ac:dyDescent="0.2">
      <c r="A232" s="13" t="s">
        <v>29</v>
      </c>
      <c r="B232" s="21">
        <v>1648.9121906666667</v>
      </c>
      <c r="C232" s="15">
        <v>3.8931403836220001E-4</v>
      </c>
      <c r="D232" s="15" t="s">
        <v>42</v>
      </c>
      <c r="E232" s="33"/>
    </row>
    <row r="233" spans="1:5" x14ac:dyDescent="0.2">
      <c r="A233" s="13" t="s">
        <v>29</v>
      </c>
      <c r="B233" s="21">
        <v>1855.0262144999999</v>
      </c>
      <c r="C233" s="15">
        <v>4.5891632101407998E-4</v>
      </c>
      <c r="D233" s="15" t="s">
        <v>42</v>
      </c>
      <c r="E233" s="33"/>
    </row>
    <row r="234" spans="1:5" x14ac:dyDescent="0.2">
      <c r="A234" s="13" t="s">
        <v>29</v>
      </c>
      <c r="B234" s="21">
        <v>1855.0262144999999</v>
      </c>
      <c r="C234" s="15">
        <v>4.3452372024819998E-4</v>
      </c>
      <c r="D234" s="15" t="s">
        <v>42</v>
      </c>
      <c r="E234" s="33"/>
    </row>
    <row r="235" spans="1:5" x14ac:dyDescent="0.2">
      <c r="A235" s="13" t="s">
        <v>29</v>
      </c>
      <c r="B235" s="21">
        <v>2061.1402383333329</v>
      </c>
      <c r="C235" s="15">
        <v>4.4333838547036005E-4</v>
      </c>
      <c r="D235" s="15" t="s">
        <v>42</v>
      </c>
      <c r="E235" s="33"/>
    </row>
    <row r="236" spans="1:5" x14ac:dyDescent="0.2">
      <c r="A236" s="13" t="s">
        <v>29</v>
      </c>
      <c r="B236" s="21">
        <v>2061.1402383333329</v>
      </c>
      <c r="C236" s="15">
        <v>4.3008484094300003E-4</v>
      </c>
      <c r="D236" s="15" t="s">
        <v>42</v>
      </c>
      <c r="E236" s="33"/>
    </row>
    <row r="237" spans="1:5" x14ac:dyDescent="0.2">
      <c r="A237" s="13" t="s">
        <v>29</v>
      </c>
      <c r="B237" s="21">
        <v>2267.2542621666666</v>
      </c>
      <c r="C237" s="15">
        <v>4.5529269835432E-4</v>
      </c>
      <c r="D237" s="15" t="s">
        <v>42</v>
      </c>
      <c r="E237" s="33"/>
    </row>
    <row r="238" spans="1:5" x14ac:dyDescent="0.2">
      <c r="A238" s="13" t="s">
        <v>29</v>
      </c>
      <c r="B238" s="21">
        <v>2267.2542621666666</v>
      </c>
      <c r="C238" s="15">
        <v>4.2952744742107997E-4</v>
      </c>
      <c r="D238" s="15" t="s">
        <v>42</v>
      </c>
      <c r="E238" s="33"/>
    </row>
    <row r="239" spans="1:5" x14ac:dyDescent="0.2">
      <c r="A239" s="13" t="s">
        <v>29</v>
      </c>
      <c r="B239" s="21">
        <v>2473.3682859999999</v>
      </c>
      <c r="C239" s="15">
        <v>4.6262188464199998E-4</v>
      </c>
      <c r="D239" s="15" t="s">
        <v>42</v>
      </c>
      <c r="E239" s="33"/>
    </row>
    <row r="240" spans="1:5" x14ac:dyDescent="0.2">
      <c r="A240" s="13" t="s">
        <v>29</v>
      </c>
      <c r="B240" s="21">
        <v>2473.3682859999999</v>
      </c>
      <c r="C240" s="15">
        <v>4.6732886256083996E-4</v>
      </c>
      <c r="D240" s="15" t="s">
        <v>42</v>
      </c>
      <c r="E240" s="33"/>
    </row>
    <row r="241" spans="1:5" x14ac:dyDescent="0.2">
      <c r="A241" s="13" t="s">
        <v>29</v>
      </c>
      <c r="B241" s="21">
        <v>2679.4823098333336</v>
      </c>
      <c r="C241" s="15">
        <v>4.6485250676823998E-4</v>
      </c>
      <c r="D241" s="15" t="s">
        <v>42</v>
      </c>
      <c r="E241" s="33"/>
    </row>
    <row r="242" spans="1:5" x14ac:dyDescent="0.2">
      <c r="A242" s="13" t="s">
        <v>29</v>
      </c>
      <c r="B242" s="21">
        <v>2679.4823098333336</v>
      </c>
      <c r="C242" s="15">
        <v>4.7620662117124E-4</v>
      </c>
      <c r="D242" s="15" t="s">
        <v>42</v>
      </c>
      <c r="E242" s="33"/>
    </row>
    <row r="243" spans="1:5" x14ac:dyDescent="0.2">
      <c r="A243" s="13" t="s">
        <v>29</v>
      </c>
      <c r="B243" s="21">
        <v>3091.7103575000001</v>
      </c>
      <c r="C243" s="15">
        <v>4.5797854939443999E-4</v>
      </c>
      <c r="D243" s="15" t="s">
        <v>42</v>
      </c>
      <c r="E243" s="33"/>
    </row>
    <row r="244" spans="1:5" x14ac:dyDescent="0.2">
      <c r="A244" s="13" t="s">
        <v>29</v>
      </c>
      <c r="B244" s="21">
        <v>3091.7103575000001</v>
      </c>
      <c r="C244" s="15">
        <v>4.6018409112668002E-4</v>
      </c>
      <c r="D244" s="15" t="s">
        <v>42</v>
      </c>
      <c r="E244" s="33"/>
    </row>
    <row r="245" spans="1:5" x14ac:dyDescent="0.2">
      <c r="A245" s="13" t="s">
        <v>29</v>
      </c>
      <c r="B245" s="21">
        <v>3503.9384051666666</v>
      </c>
      <c r="C245" s="15">
        <v>4.5113190540503996E-4</v>
      </c>
      <c r="D245" s="15" t="s">
        <v>42</v>
      </c>
      <c r="E245" s="33"/>
    </row>
    <row r="246" spans="1:5" x14ac:dyDescent="0.2">
      <c r="A246" s="13" t="s">
        <v>29</v>
      </c>
      <c r="B246" s="21">
        <v>3503.9384051666666</v>
      </c>
      <c r="C246" s="15">
        <v>4.3066250333508E-4</v>
      </c>
      <c r="D246" s="15" t="s">
        <v>42</v>
      </c>
      <c r="E246" s="33"/>
    </row>
    <row r="247" spans="1:5" x14ac:dyDescent="0.2">
      <c r="A247" s="13" t="s">
        <v>29</v>
      </c>
      <c r="B247" s="21">
        <v>3916.1664528333331</v>
      </c>
      <c r="C247" s="15">
        <v>4.3841280838583993E-4</v>
      </c>
      <c r="D247" s="15" t="s">
        <v>42</v>
      </c>
      <c r="E247" s="33"/>
    </row>
    <row r="248" spans="1:5" x14ac:dyDescent="0.2">
      <c r="A248" s="13" t="s">
        <v>29</v>
      </c>
      <c r="B248" s="21">
        <v>3916.1664528333331</v>
      </c>
      <c r="C248" s="15">
        <v>4.1467037659576001E-4</v>
      </c>
      <c r="D248" s="15" t="s">
        <v>42</v>
      </c>
      <c r="E248" s="33"/>
    </row>
    <row r="249" spans="1:5" x14ac:dyDescent="0.2">
      <c r="A249" s="13" t="s">
        <v>29</v>
      </c>
      <c r="B249" s="21">
        <v>4328.3945004999996</v>
      </c>
      <c r="C249" s="15">
        <v>4.2801537878667999E-4</v>
      </c>
      <c r="D249" s="15" t="s">
        <v>42</v>
      </c>
      <c r="E249" s="33"/>
    </row>
    <row r="250" spans="1:5" x14ac:dyDescent="0.2">
      <c r="A250" s="13" t="s">
        <v>29</v>
      </c>
      <c r="B250" s="21">
        <v>4328.3945004999996</v>
      </c>
      <c r="C250" s="15">
        <v>4.8059482830103994E-4</v>
      </c>
      <c r="D250" s="15" t="s">
        <v>42</v>
      </c>
      <c r="E250" s="33"/>
    </row>
    <row r="251" spans="1:5" x14ac:dyDescent="0.2">
      <c r="A251" s="13" t="s">
        <v>29</v>
      </c>
      <c r="B251" s="21">
        <v>4740.6225481666661</v>
      </c>
      <c r="C251" s="15">
        <v>4.2708671149268006E-4</v>
      </c>
      <c r="D251" s="15" t="s">
        <v>42</v>
      </c>
      <c r="E251" s="33"/>
    </row>
    <row r="252" spans="1:5" x14ac:dyDescent="0.2">
      <c r="A252" s="13" t="s">
        <v>29</v>
      </c>
      <c r="B252" s="21">
        <v>4740.6225481666661</v>
      </c>
      <c r="C252" s="15">
        <v>3.9712768210415999E-4</v>
      </c>
      <c r="D252" s="15" t="s">
        <v>42</v>
      </c>
      <c r="E252" s="33"/>
    </row>
    <row r="253" spans="1:5" x14ac:dyDescent="0.2">
      <c r="A253" s="13" t="s">
        <v>29</v>
      </c>
      <c r="B253" s="21">
        <v>5152.8505958333326</v>
      </c>
      <c r="C253" s="15">
        <v>4.2099574812784002E-4</v>
      </c>
      <c r="D253" s="15" t="s">
        <v>42</v>
      </c>
      <c r="E253" s="33"/>
    </row>
    <row r="254" spans="1:5" x14ac:dyDescent="0.2">
      <c r="A254" s="13" t="s">
        <v>29</v>
      </c>
      <c r="B254" s="21">
        <v>5152.8505958333326</v>
      </c>
      <c r="C254" s="15">
        <v>3.9101662223320002E-4</v>
      </c>
      <c r="D254" s="15" t="s">
        <v>42</v>
      </c>
      <c r="E254" s="33"/>
    </row>
    <row r="255" spans="1:5" x14ac:dyDescent="0.2">
      <c r="A255" s="13" t="s">
        <v>29</v>
      </c>
      <c r="B255" s="21">
        <v>0</v>
      </c>
      <c r="C255" s="15">
        <v>2.5089154606200006E-6</v>
      </c>
      <c r="D255" s="15" t="s">
        <v>49</v>
      </c>
      <c r="E255" s="33"/>
    </row>
    <row r="256" spans="1:5" x14ac:dyDescent="0.2">
      <c r="A256" s="13" t="s">
        <v>29</v>
      </c>
      <c r="B256" s="21">
        <v>51.528505958333334</v>
      </c>
      <c r="C256" s="15">
        <v>4.5837130262000007E-7</v>
      </c>
      <c r="D256" s="15" t="s">
        <v>49</v>
      </c>
      <c r="E256" s="33"/>
    </row>
    <row r="257" spans="1:5" x14ac:dyDescent="0.2">
      <c r="A257" s="13" t="s">
        <v>29</v>
      </c>
      <c r="B257" s="21">
        <v>103.05701191666667</v>
      </c>
      <c r="C257" s="15">
        <v>4.7028585410200007E-6</v>
      </c>
      <c r="D257" s="15" t="s">
        <v>49</v>
      </c>
      <c r="E257" s="33"/>
    </row>
    <row r="258" spans="1:5" x14ac:dyDescent="0.2">
      <c r="A258" s="13" t="s">
        <v>29</v>
      </c>
      <c r="B258" s="21">
        <v>154.58551787499999</v>
      </c>
      <c r="C258" s="15">
        <v>9.1124675060000009E-6</v>
      </c>
      <c r="D258" s="15" t="s">
        <v>49</v>
      </c>
      <c r="E258" s="33"/>
    </row>
    <row r="259" spans="1:5" x14ac:dyDescent="0.2">
      <c r="A259" s="13" t="s">
        <v>29</v>
      </c>
      <c r="B259" s="21">
        <v>206.11402383333333</v>
      </c>
      <c r="C259" s="15">
        <v>1.5716019551380002E-5</v>
      </c>
      <c r="D259" s="15" t="s">
        <v>49</v>
      </c>
      <c r="E259" s="33"/>
    </row>
    <row r="260" spans="1:5" x14ac:dyDescent="0.2">
      <c r="A260" s="13" t="s">
        <v>29</v>
      </c>
      <c r="B260" s="21">
        <v>309.17103574999999</v>
      </c>
      <c r="C260" s="15">
        <v>4.5138754034280009E-5</v>
      </c>
      <c r="D260" s="15" t="s">
        <v>49</v>
      </c>
      <c r="E260" s="33"/>
    </row>
    <row r="261" spans="1:5" x14ac:dyDescent="0.2">
      <c r="A261" s="13" t="s">
        <v>29</v>
      </c>
      <c r="B261" s="21">
        <v>343.17984968249999</v>
      </c>
      <c r="C261" s="15">
        <v>4.4075546728560008E-5</v>
      </c>
      <c r="D261" s="15" t="s">
        <v>49</v>
      </c>
      <c r="E261" s="33"/>
    </row>
    <row r="262" spans="1:5" x14ac:dyDescent="0.2">
      <c r="A262" s="13" t="s">
        <v>29</v>
      </c>
      <c r="B262" s="21">
        <v>412.22804766666667</v>
      </c>
      <c r="C262" s="15">
        <v>8.4260455756340012E-5</v>
      </c>
      <c r="D262" s="15" t="s">
        <v>49</v>
      </c>
      <c r="E262" s="33"/>
    </row>
    <row r="263" spans="1:5" x14ac:dyDescent="0.2">
      <c r="A263" s="13" t="s">
        <v>29</v>
      </c>
      <c r="B263" s="21">
        <v>412.22804766666667</v>
      </c>
      <c r="C263" s="15">
        <v>7.6386229926360012E-5</v>
      </c>
      <c r="D263" s="15" t="s">
        <v>49</v>
      </c>
      <c r="E263" s="33"/>
    </row>
    <row r="264" spans="1:5" x14ac:dyDescent="0.2">
      <c r="A264" s="13" t="s">
        <v>29</v>
      </c>
      <c r="B264" s="21">
        <v>515.28505958333324</v>
      </c>
      <c r="C264" s="15">
        <v>1.2063429756368002E-4</v>
      </c>
      <c r="D264" s="15" t="s">
        <v>49</v>
      </c>
      <c r="E264" s="33"/>
    </row>
    <row r="265" spans="1:5" x14ac:dyDescent="0.2">
      <c r="A265" s="13" t="s">
        <v>29</v>
      </c>
      <c r="B265" s="21">
        <v>515.28505958333324</v>
      </c>
      <c r="C265" s="15">
        <v>1.0114726812274002E-4</v>
      </c>
      <c r="D265" s="15" t="s">
        <v>49</v>
      </c>
      <c r="E265" s="33"/>
    </row>
    <row r="266" spans="1:5" x14ac:dyDescent="0.2">
      <c r="A266" s="13" t="s">
        <v>29</v>
      </c>
      <c r="B266" s="21">
        <v>618.34207149999997</v>
      </c>
      <c r="C266" s="15">
        <v>1.6086383208276003E-4</v>
      </c>
      <c r="D266" s="15" t="s">
        <v>49</v>
      </c>
      <c r="E266" s="33"/>
    </row>
    <row r="267" spans="1:5" x14ac:dyDescent="0.2">
      <c r="A267" s="13" t="s">
        <v>29</v>
      </c>
      <c r="B267" s="21">
        <v>618.34207149999997</v>
      </c>
      <c r="C267" s="15">
        <v>1.3584867220376001E-4</v>
      </c>
      <c r="D267" s="15" t="s">
        <v>49</v>
      </c>
      <c r="E267" s="33"/>
    </row>
    <row r="268" spans="1:5" x14ac:dyDescent="0.2">
      <c r="A268" s="13" t="s">
        <v>29</v>
      </c>
      <c r="B268" s="21">
        <v>721.39908341666671</v>
      </c>
      <c r="C268" s="15">
        <v>1.9731370181622003E-4</v>
      </c>
      <c r="D268" s="15" t="s">
        <v>49</v>
      </c>
      <c r="E268" s="33"/>
    </row>
    <row r="269" spans="1:5" x14ac:dyDescent="0.2">
      <c r="A269" s="13" t="s">
        <v>29</v>
      </c>
      <c r="B269" s="21">
        <v>721.39908341666671</v>
      </c>
      <c r="C269" s="15">
        <v>1.6312625863710003E-4</v>
      </c>
      <c r="D269" s="15" t="s">
        <v>49</v>
      </c>
      <c r="E269" s="33"/>
    </row>
    <row r="270" spans="1:5" x14ac:dyDescent="0.2">
      <c r="A270" s="13" t="s">
        <v>29</v>
      </c>
      <c r="B270" s="21">
        <v>824.45609533333334</v>
      </c>
      <c r="C270" s="15">
        <v>2.3900948537766004E-4</v>
      </c>
      <c r="D270" s="15" t="s">
        <v>49</v>
      </c>
      <c r="E270" s="33"/>
    </row>
    <row r="271" spans="1:5" x14ac:dyDescent="0.2">
      <c r="A271" s="13" t="s">
        <v>29</v>
      </c>
      <c r="B271" s="21">
        <v>824.45609533333334</v>
      </c>
      <c r="C271" s="15">
        <v>2.0530540633304005E-4</v>
      </c>
      <c r="D271" s="15" t="s">
        <v>49</v>
      </c>
      <c r="E271" s="33"/>
    </row>
    <row r="272" spans="1:5" x14ac:dyDescent="0.2">
      <c r="A272" s="13" t="s">
        <v>29</v>
      </c>
      <c r="B272" s="21">
        <v>1030.5701191666665</v>
      </c>
      <c r="C272" s="15">
        <v>2.9536776139648004E-4</v>
      </c>
      <c r="D272" s="15" t="s">
        <v>49</v>
      </c>
      <c r="E272" s="33"/>
    </row>
    <row r="273" spans="1:5" x14ac:dyDescent="0.2">
      <c r="A273" s="13" t="s">
        <v>29</v>
      </c>
      <c r="B273" s="21">
        <v>1030.5701191666665</v>
      </c>
      <c r="C273" s="15">
        <v>2.6978296995564004E-4</v>
      </c>
      <c r="D273" s="15" t="s">
        <v>49</v>
      </c>
      <c r="E273" s="33"/>
    </row>
    <row r="274" spans="1:5" x14ac:dyDescent="0.2">
      <c r="A274" s="13" t="s">
        <v>29</v>
      </c>
      <c r="B274" s="21">
        <v>1236.6841429999999</v>
      </c>
      <c r="C274" s="15">
        <v>3.5188895394328002E-4</v>
      </c>
      <c r="D274" s="15" t="s">
        <v>49</v>
      </c>
      <c r="E274" s="33"/>
    </row>
    <row r="275" spans="1:5" x14ac:dyDescent="0.2">
      <c r="A275" s="13" t="s">
        <v>29</v>
      </c>
      <c r="B275" s="21">
        <v>1236.6841429999999</v>
      </c>
      <c r="C275" s="15">
        <v>2.9922658554834005E-4</v>
      </c>
      <c r="D275" s="15" t="s">
        <v>49</v>
      </c>
      <c r="E275" s="33"/>
    </row>
    <row r="276" spans="1:5" x14ac:dyDescent="0.2">
      <c r="A276" s="13" t="s">
        <v>29</v>
      </c>
      <c r="B276" s="21">
        <v>1442.7981668333334</v>
      </c>
      <c r="C276" s="15">
        <v>3.5893781112640008E-4</v>
      </c>
      <c r="D276" s="15" t="s">
        <v>49</v>
      </c>
      <c r="E276" s="33"/>
    </row>
    <row r="277" spans="1:5" x14ac:dyDescent="0.2">
      <c r="A277" s="13" t="s">
        <v>29</v>
      </c>
      <c r="B277" s="21">
        <v>1442.7981668333334</v>
      </c>
      <c r="C277" s="15">
        <v>3.1461348109718004E-4</v>
      </c>
      <c r="D277" s="15" t="s">
        <v>49</v>
      </c>
      <c r="E277" s="33"/>
    </row>
    <row r="278" spans="1:5" x14ac:dyDescent="0.2">
      <c r="A278" s="13" t="s">
        <v>29</v>
      </c>
      <c r="B278" s="21">
        <v>1648.9121906666667</v>
      </c>
      <c r="C278" s="15">
        <v>3.4438393007506002E-4</v>
      </c>
      <c r="D278" s="15" t="s">
        <v>49</v>
      </c>
      <c r="E278" s="33"/>
    </row>
    <row r="279" spans="1:5" x14ac:dyDescent="0.2">
      <c r="A279" s="13" t="s">
        <v>29</v>
      </c>
      <c r="B279" s="21">
        <v>1648.9121906666667</v>
      </c>
      <c r="C279" s="15">
        <v>3.1534148281708006E-4</v>
      </c>
      <c r="D279" s="15" t="s">
        <v>49</v>
      </c>
      <c r="E279" s="33"/>
    </row>
    <row r="280" spans="1:5" x14ac:dyDescent="0.2">
      <c r="A280" s="13" t="s">
        <v>29</v>
      </c>
      <c r="B280" s="21">
        <v>1855.0262144999999</v>
      </c>
      <c r="C280" s="15">
        <v>3.2439949615412002E-4</v>
      </c>
      <c r="D280" s="15" t="s">
        <v>49</v>
      </c>
      <c r="E280" s="33"/>
    </row>
    <row r="281" spans="1:5" x14ac:dyDescent="0.2">
      <c r="A281" s="13" t="s">
        <v>29</v>
      </c>
      <c r="B281" s="21">
        <v>1855.0262144999999</v>
      </c>
      <c r="C281" s="15">
        <v>3.1655481853268004E-4</v>
      </c>
      <c r="D281" s="15" t="s">
        <v>49</v>
      </c>
      <c r="E281" s="33"/>
    </row>
    <row r="282" spans="1:5" x14ac:dyDescent="0.2">
      <c r="A282" s="13" t="s">
        <v>29</v>
      </c>
      <c r="B282" s="21">
        <v>2061.1402383333329</v>
      </c>
      <c r="C282" s="15">
        <v>2.9811562102066003E-4</v>
      </c>
      <c r="D282" s="15" t="s">
        <v>49</v>
      </c>
      <c r="E282" s="33"/>
    </row>
    <row r="283" spans="1:5" x14ac:dyDescent="0.2">
      <c r="A283" s="13" t="s">
        <v>29</v>
      </c>
      <c r="B283" s="21">
        <v>2061.1402383333329</v>
      </c>
      <c r="C283" s="15">
        <v>2.9198252151218005E-4</v>
      </c>
      <c r="D283" s="15" t="s">
        <v>49</v>
      </c>
      <c r="E283" s="33"/>
    </row>
    <row r="284" spans="1:5" x14ac:dyDescent="0.2">
      <c r="A284" s="13" t="s">
        <v>29</v>
      </c>
      <c r="B284" s="21">
        <v>2267.2542621666666</v>
      </c>
      <c r="C284" s="15">
        <v>2.9269592940788007E-4</v>
      </c>
      <c r="D284" s="15" t="s">
        <v>49</v>
      </c>
      <c r="E284" s="33"/>
    </row>
    <row r="285" spans="1:5" x14ac:dyDescent="0.2">
      <c r="A285" s="13" t="s">
        <v>29</v>
      </c>
      <c r="B285" s="21">
        <v>2267.2542621666666</v>
      </c>
      <c r="C285" s="15">
        <v>2.9384296970628001E-4</v>
      </c>
      <c r="D285" s="15" t="s">
        <v>49</v>
      </c>
      <c r="E285" s="33"/>
    </row>
    <row r="286" spans="1:5" x14ac:dyDescent="0.2">
      <c r="A286" s="13" t="s">
        <v>29</v>
      </c>
      <c r="B286" s="21">
        <v>2473.3682859999999</v>
      </c>
      <c r="C286" s="15">
        <v>3.1025833676060009E-4</v>
      </c>
      <c r="D286" s="15" t="s">
        <v>49</v>
      </c>
      <c r="E286" s="33"/>
    </row>
    <row r="287" spans="1:5" x14ac:dyDescent="0.2">
      <c r="A287" s="13" t="s">
        <v>29</v>
      </c>
      <c r="B287" s="21">
        <v>2473.3682859999999</v>
      </c>
      <c r="C287" s="15">
        <v>3.1586276765130009E-4</v>
      </c>
      <c r="D287" s="15" t="s">
        <v>49</v>
      </c>
      <c r="E287" s="33"/>
    </row>
    <row r="288" spans="1:5" x14ac:dyDescent="0.2">
      <c r="A288" s="13" t="s">
        <v>29</v>
      </c>
      <c r="B288" s="21">
        <v>2679.4823098333336</v>
      </c>
      <c r="C288" s="15">
        <v>3.0976958717666004E-4</v>
      </c>
      <c r="D288" s="15" t="s">
        <v>49</v>
      </c>
      <c r="E288" s="33"/>
    </row>
    <row r="289" spans="1:5" x14ac:dyDescent="0.2">
      <c r="A289" s="13" t="s">
        <v>29</v>
      </c>
      <c r="B289" s="21">
        <v>2679.4823098333336</v>
      </c>
      <c r="C289" s="15">
        <v>3.1268113151658005E-4</v>
      </c>
      <c r="D289" s="15" t="s">
        <v>49</v>
      </c>
      <c r="E289" s="33"/>
    </row>
    <row r="290" spans="1:5" x14ac:dyDescent="0.2">
      <c r="A290" s="13" t="s">
        <v>29</v>
      </c>
      <c r="B290" s="21">
        <v>3091.7103575000001</v>
      </c>
      <c r="C290" s="15">
        <v>3.0982389258914E-4</v>
      </c>
      <c r="D290" s="15" t="s">
        <v>49</v>
      </c>
      <c r="E290" s="33"/>
    </row>
    <row r="291" spans="1:5" x14ac:dyDescent="0.2">
      <c r="A291" s="13" t="s">
        <v>29</v>
      </c>
      <c r="B291" s="21">
        <v>3091.7103575000001</v>
      </c>
      <c r="C291" s="15">
        <v>3.0408891655618007E-4</v>
      </c>
      <c r="D291" s="15" t="s">
        <v>49</v>
      </c>
      <c r="E291" s="33"/>
    </row>
    <row r="292" spans="1:5" x14ac:dyDescent="0.2">
      <c r="A292" s="13" t="s">
        <v>29</v>
      </c>
      <c r="B292" s="21">
        <v>3503.9384051666666</v>
      </c>
      <c r="C292" s="15">
        <v>3.1321255764950003E-4</v>
      </c>
      <c r="D292" s="15" t="s">
        <v>49</v>
      </c>
      <c r="E292" s="33"/>
    </row>
    <row r="293" spans="1:5" x14ac:dyDescent="0.2">
      <c r="A293" s="13" t="s">
        <v>29</v>
      </c>
      <c r="B293" s="21">
        <v>3503.9384051666666</v>
      </c>
      <c r="C293" s="15">
        <v>2.8967268957982004E-4</v>
      </c>
      <c r="D293" s="15" t="s">
        <v>49</v>
      </c>
      <c r="E293" s="33"/>
    </row>
    <row r="294" spans="1:5" x14ac:dyDescent="0.2">
      <c r="A294" s="13" t="s">
        <v>29</v>
      </c>
      <c r="B294" s="21">
        <v>3916.1664528333331</v>
      </c>
      <c r="C294" s="15">
        <v>3.0471917306604002E-4</v>
      </c>
      <c r="D294" s="15" t="s">
        <v>49</v>
      </c>
      <c r="E294" s="33"/>
    </row>
    <row r="295" spans="1:5" x14ac:dyDescent="0.2">
      <c r="A295" s="13" t="s">
        <v>29</v>
      </c>
      <c r="B295" s="21">
        <v>3916.1664528333331</v>
      </c>
      <c r="C295" s="15">
        <v>2.8805490852884004E-4</v>
      </c>
      <c r="D295" s="15" t="s">
        <v>49</v>
      </c>
      <c r="E295" s="33"/>
    </row>
    <row r="296" spans="1:5" x14ac:dyDescent="0.2">
      <c r="A296" s="13" t="s">
        <v>29</v>
      </c>
      <c r="B296" s="21">
        <v>4328.3945004999996</v>
      </c>
      <c r="C296" s="15">
        <v>3.0246006331634002E-4</v>
      </c>
      <c r="D296" s="15" t="s">
        <v>49</v>
      </c>
      <c r="E296" s="33"/>
    </row>
    <row r="297" spans="1:5" x14ac:dyDescent="0.2">
      <c r="A297" s="13" t="s">
        <v>29</v>
      </c>
      <c r="B297" s="21">
        <v>4328.3945004999996</v>
      </c>
      <c r="C297" s="15">
        <v>3.3691189702384004E-4</v>
      </c>
      <c r="D297" s="15" t="s">
        <v>49</v>
      </c>
      <c r="E297" s="33"/>
    </row>
    <row r="298" spans="1:5" x14ac:dyDescent="0.2">
      <c r="A298" s="13" t="s">
        <v>29</v>
      </c>
      <c r="B298" s="21">
        <v>4740.6225481666661</v>
      </c>
      <c r="C298" s="15">
        <v>2.9948412020434006E-4</v>
      </c>
      <c r="D298" s="15" t="s">
        <v>49</v>
      </c>
      <c r="E298" s="33"/>
    </row>
    <row r="299" spans="1:5" x14ac:dyDescent="0.2">
      <c r="A299" s="13" t="s">
        <v>29</v>
      </c>
      <c r="B299" s="21">
        <v>4740.6225481666661</v>
      </c>
      <c r="C299" s="15">
        <v>2.9201847206016007E-4</v>
      </c>
      <c r="D299" s="15" t="s">
        <v>49</v>
      </c>
      <c r="E299" s="33"/>
    </row>
    <row r="300" spans="1:5" x14ac:dyDescent="0.2">
      <c r="A300" s="13" t="s">
        <v>29</v>
      </c>
      <c r="B300" s="21">
        <v>5152.8505958333326</v>
      </c>
      <c r="C300" s="15">
        <v>3.0097209176034004E-4</v>
      </c>
      <c r="D300" s="15" t="s">
        <v>49</v>
      </c>
      <c r="E300" s="33"/>
    </row>
    <row r="301" spans="1:5" x14ac:dyDescent="0.2">
      <c r="A301" s="13" t="s">
        <v>29</v>
      </c>
      <c r="B301" s="21">
        <v>5152.8505958333326</v>
      </c>
      <c r="C301" s="15">
        <v>2.8219494596490004E-4</v>
      </c>
      <c r="D301" s="15" t="s">
        <v>49</v>
      </c>
      <c r="E301" s="33"/>
    </row>
    <row r="302" spans="1:5" x14ac:dyDescent="0.2">
      <c r="A302" s="13" t="s">
        <v>29</v>
      </c>
      <c r="B302" s="21">
        <v>0</v>
      </c>
      <c r="C302" s="15">
        <v>0</v>
      </c>
      <c r="D302" s="15" t="s">
        <v>50</v>
      </c>
      <c r="E302" s="33"/>
    </row>
    <row r="303" spans="1:5" x14ac:dyDescent="0.2">
      <c r="A303" s="13" t="s">
        <v>29</v>
      </c>
      <c r="B303" s="21">
        <v>51.528505958333334</v>
      </c>
      <c r="C303" s="15">
        <v>0</v>
      </c>
      <c r="D303" s="15" t="s">
        <v>50</v>
      </c>
      <c r="E303" s="33"/>
    </row>
    <row r="304" spans="1:5" x14ac:dyDescent="0.2">
      <c r="A304" s="13" t="s">
        <v>29</v>
      </c>
      <c r="B304" s="21">
        <v>103.05701191666667</v>
      </c>
      <c r="C304" s="15">
        <v>9.9996583594999997E-7</v>
      </c>
      <c r="D304" s="15" t="s">
        <v>50</v>
      </c>
      <c r="E304" s="33"/>
    </row>
    <row r="305" spans="1:5" x14ac:dyDescent="0.2">
      <c r="A305" s="13" t="s">
        <v>29</v>
      </c>
      <c r="B305" s="21">
        <v>154.58551787499999</v>
      </c>
      <c r="C305" s="15">
        <v>7.1108672277999999E-7</v>
      </c>
      <c r="D305" s="15" t="s">
        <v>50</v>
      </c>
      <c r="E305" s="33"/>
    </row>
    <row r="306" spans="1:5" x14ac:dyDescent="0.2">
      <c r="A306" s="13" t="s">
        <v>29</v>
      </c>
      <c r="B306" s="21">
        <v>206.11402383333333</v>
      </c>
      <c r="C306" s="15">
        <v>5.7775801507500006E-7</v>
      </c>
      <c r="D306" s="15" t="s">
        <v>50</v>
      </c>
      <c r="E306" s="33"/>
    </row>
    <row r="307" spans="1:5" x14ac:dyDescent="0.2">
      <c r="A307" s="13" t="s">
        <v>29</v>
      </c>
      <c r="B307" s="21">
        <v>309.17103574999999</v>
      </c>
      <c r="C307" s="15">
        <v>4.1776350244949997E-6</v>
      </c>
      <c r="D307" s="15" t="s">
        <v>50</v>
      </c>
      <c r="E307" s="33"/>
    </row>
    <row r="308" spans="1:5" x14ac:dyDescent="0.2">
      <c r="A308" s="13" t="s">
        <v>29</v>
      </c>
      <c r="B308" s="21">
        <v>343.17984968249999</v>
      </c>
      <c r="C308" s="15">
        <v>0</v>
      </c>
      <c r="D308" s="15" t="s">
        <v>50</v>
      </c>
      <c r="E308" s="33"/>
    </row>
    <row r="309" spans="1:5" x14ac:dyDescent="0.2">
      <c r="A309" s="13" t="s">
        <v>29</v>
      </c>
      <c r="B309" s="21">
        <v>412.22804766666667</v>
      </c>
      <c r="C309" s="15">
        <v>1.3043998629075E-5</v>
      </c>
      <c r="D309" s="15" t="s">
        <v>50</v>
      </c>
      <c r="E309" s="33"/>
    </row>
    <row r="310" spans="1:5" x14ac:dyDescent="0.2">
      <c r="A310" s="13" t="s">
        <v>29</v>
      </c>
      <c r="B310" s="21">
        <v>412.22804766666667</v>
      </c>
      <c r="C310" s="15">
        <v>1.107688549607E-5</v>
      </c>
      <c r="D310" s="15" t="s">
        <v>50</v>
      </c>
      <c r="E310" s="33"/>
    </row>
    <row r="311" spans="1:5" x14ac:dyDescent="0.2">
      <c r="A311" s="13" t="s">
        <v>29</v>
      </c>
      <c r="B311" s="21">
        <v>515.28505958333324</v>
      </c>
      <c r="C311" s="15">
        <v>1.9688215908070003E-5</v>
      </c>
      <c r="D311" s="15" t="s">
        <v>50</v>
      </c>
      <c r="E311" s="33"/>
    </row>
    <row r="312" spans="1:5" x14ac:dyDescent="0.2">
      <c r="A312" s="13" t="s">
        <v>29</v>
      </c>
      <c r="B312" s="21">
        <v>515.28505958333324</v>
      </c>
      <c r="C312" s="15">
        <v>1.7916710925914999E-5</v>
      </c>
      <c r="D312" s="15" t="s">
        <v>50</v>
      </c>
      <c r="E312" s="33"/>
    </row>
    <row r="313" spans="1:5" x14ac:dyDescent="0.2">
      <c r="A313" s="13" t="s">
        <v>29</v>
      </c>
      <c r="B313" s="21">
        <v>618.34207149999997</v>
      </c>
      <c r="C313" s="15">
        <v>3.2987761103674999E-5</v>
      </c>
      <c r="D313" s="15" t="s">
        <v>50</v>
      </c>
      <c r="E313" s="33"/>
    </row>
    <row r="314" spans="1:5" x14ac:dyDescent="0.2">
      <c r="A314" s="13" t="s">
        <v>29</v>
      </c>
      <c r="B314" s="21">
        <v>618.34207149999997</v>
      </c>
      <c r="C314" s="15">
        <v>2.4851653985445001E-5</v>
      </c>
      <c r="D314" s="15" t="s">
        <v>50</v>
      </c>
      <c r="E314" s="33"/>
    </row>
    <row r="315" spans="1:5" x14ac:dyDescent="0.2">
      <c r="A315" s="13" t="s">
        <v>29</v>
      </c>
      <c r="B315" s="21">
        <v>721.39908341666671</v>
      </c>
      <c r="C315" s="15">
        <v>4.5853988052054998E-5</v>
      </c>
      <c r="D315" s="15" t="s">
        <v>50</v>
      </c>
      <c r="E315" s="33"/>
    </row>
    <row r="316" spans="1:5" x14ac:dyDescent="0.2">
      <c r="A316" s="13" t="s">
        <v>29</v>
      </c>
      <c r="B316" s="21">
        <v>721.39908341666671</v>
      </c>
      <c r="C316" s="15">
        <v>5.0654484690270002E-5</v>
      </c>
      <c r="D316" s="15" t="s">
        <v>50</v>
      </c>
      <c r="E316" s="33"/>
    </row>
    <row r="317" spans="1:5" x14ac:dyDescent="0.2">
      <c r="A317" s="13" t="s">
        <v>29</v>
      </c>
      <c r="B317" s="21">
        <v>824.45609533333334</v>
      </c>
      <c r="C317" s="15">
        <v>6.1664558686415E-5</v>
      </c>
      <c r="D317" s="15" t="s">
        <v>50</v>
      </c>
      <c r="E317" s="33"/>
    </row>
    <row r="318" spans="1:5" x14ac:dyDescent="0.2">
      <c r="A318" s="13" t="s">
        <v>29</v>
      </c>
      <c r="B318" s="21">
        <v>824.45609533333334</v>
      </c>
      <c r="C318" s="15">
        <v>6.0417016889855008E-5</v>
      </c>
      <c r="D318" s="15" t="s">
        <v>50</v>
      </c>
      <c r="E318" s="33"/>
    </row>
    <row r="319" spans="1:5" x14ac:dyDescent="0.2">
      <c r="A319" s="13" t="s">
        <v>29</v>
      </c>
      <c r="B319" s="21">
        <v>1030.5701191666665</v>
      </c>
      <c r="C319" s="15">
        <v>9.030802393378001E-5</v>
      </c>
      <c r="D319" s="15" t="s">
        <v>50</v>
      </c>
      <c r="E319" s="33"/>
    </row>
    <row r="320" spans="1:5" x14ac:dyDescent="0.2">
      <c r="A320" s="13" t="s">
        <v>29</v>
      </c>
      <c r="B320" s="21">
        <v>1030.5701191666665</v>
      </c>
      <c r="C320" s="15">
        <v>7.8031080562550011E-5</v>
      </c>
      <c r="D320" s="15" t="s">
        <v>50</v>
      </c>
      <c r="E320" s="33"/>
    </row>
    <row r="321" spans="1:5" x14ac:dyDescent="0.2">
      <c r="A321" s="13" t="s">
        <v>29</v>
      </c>
      <c r="B321" s="21">
        <v>1236.6841429999999</v>
      </c>
      <c r="C321" s="15">
        <v>1.2701788011696501E-4</v>
      </c>
      <c r="D321" s="15" t="s">
        <v>50</v>
      </c>
      <c r="E321" s="33"/>
    </row>
    <row r="322" spans="1:5" x14ac:dyDescent="0.2">
      <c r="A322" s="13" t="s">
        <v>29</v>
      </c>
      <c r="B322" s="21">
        <v>1236.6841429999999</v>
      </c>
      <c r="C322" s="15">
        <v>1.0663555917808002E-4</v>
      </c>
      <c r="D322" s="15" t="s">
        <v>50</v>
      </c>
      <c r="E322" s="33"/>
    </row>
    <row r="323" spans="1:5" x14ac:dyDescent="0.2">
      <c r="A323" s="13" t="s">
        <v>29</v>
      </c>
      <c r="B323" s="21">
        <v>1442.7981668333334</v>
      </c>
      <c r="C323" s="15">
        <v>1.53472531162855E-4</v>
      </c>
      <c r="D323" s="15" t="s">
        <v>50</v>
      </c>
      <c r="E323" s="33"/>
    </row>
    <row r="324" spans="1:5" x14ac:dyDescent="0.2">
      <c r="A324" s="13" t="s">
        <v>29</v>
      </c>
      <c r="B324" s="21">
        <v>1442.7981668333334</v>
      </c>
      <c r="C324" s="15">
        <v>1.29040094753475E-4</v>
      </c>
      <c r="D324" s="15" t="s">
        <v>50</v>
      </c>
      <c r="E324" s="33"/>
    </row>
    <row r="325" spans="1:5" x14ac:dyDescent="0.2">
      <c r="A325" s="13" t="s">
        <v>29</v>
      </c>
      <c r="B325" s="21">
        <v>1648.9121906666667</v>
      </c>
      <c r="C325" s="15">
        <v>1.8502700797208999E-4</v>
      </c>
      <c r="D325" s="15" t="s">
        <v>50</v>
      </c>
      <c r="E325" s="33"/>
    </row>
    <row r="326" spans="1:5" x14ac:dyDescent="0.2">
      <c r="A326" s="13" t="s">
        <v>29</v>
      </c>
      <c r="B326" s="21">
        <v>1648.9121906666667</v>
      </c>
      <c r="C326" s="15">
        <v>1.5725545556255E-4</v>
      </c>
      <c r="D326" s="15" t="s">
        <v>50</v>
      </c>
      <c r="E326" s="33"/>
    </row>
    <row r="327" spans="1:5" x14ac:dyDescent="0.2">
      <c r="A327" s="13" t="s">
        <v>29</v>
      </c>
      <c r="B327" s="21">
        <v>1855.0262144999999</v>
      </c>
      <c r="C327" s="15">
        <v>2.0237085969575E-4</v>
      </c>
      <c r="D327" s="15" t="s">
        <v>50</v>
      </c>
      <c r="E327" s="33"/>
    </row>
    <row r="328" spans="1:5" x14ac:dyDescent="0.2">
      <c r="A328" s="13" t="s">
        <v>29</v>
      </c>
      <c r="B328" s="21">
        <v>1855.0262144999999</v>
      </c>
      <c r="C328" s="15">
        <v>2.18640943324685E-4</v>
      </c>
      <c r="D328" s="15" t="s">
        <v>50</v>
      </c>
      <c r="E328" s="33"/>
    </row>
    <row r="329" spans="1:5" x14ac:dyDescent="0.2">
      <c r="A329" s="13" t="s">
        <v>29</v>
      </c>
      <c r="B329" s="21">
        <v>2061.1402383333329</v>
      </c>
      <c r="C329" s="15">
        <v>2.1289272203719003E-4</v>
      </c>
      <c r="D329" s="15" t="s">
        <v>50</v>
      </c>
      <c r="E329" s="33"/>
    </row>
    <row r="330" spans="1:5" x14ac:dyDescent="0.2">
      <c r="A330" s="13" t="s">
        <v>29</v>
      </c>
      <c r="B330" s="21">
        <v>2061.1402383333329</v>
      </c>
      <c r="C330" s="15">
        <v>2.38217889760025E-4</v>
      </c>
      <c r="D330" s="15" t="s">
        <v>50</v>
      </c>
      <c r="E330" s="33"/>
    </row>
    <row r="331" spans="1:5" x14ac:dyDescent="0.2">
      <c r="A331" s="13" t="s">
        <v>29</v>
      </c>
      <c r="B331" s="21">
        <v>2267.2542621666666</v>
      </c>
      <c r="C331" s="15">
        <v>2.2540340562417999E-4</v>
      </c>
      <c r="D331" s="15" t="s">
        <v>50</v>
      </c>
      <c r="E331" s="33"/>
    </row>
    <row r="332" spans="1:5" x14ac:dyDescent="0.2">
      <c r="A332" s="13" t="s">
        <v>29</v>
      </c>
      <c r="B332" s="21">
        <v>2267.2542621666666</v>
      </c>
      <c r="C332" s="15">
        <v>2.5047942261709498E-4</v>
      </c>
      <c r="D332" s="15" t="s">
        <v>50</v>
      </c>
      <c r="E332" s="33"/>
    </row>
    <row r="333" spans="1:5" x14ac:dyDescent="0.2">
      <c r="A333" s="13" t="s">
        <v>29</v>
      </c>
      <c r="B333" s="21">
        <v>2473.3682859999999</v>
      </c>
      <c r="C333" s="15">
        <v>2.4822484753653999E-4</v>
      </c>
      <c r="D333" s="15" t="s">
        <v>50</v>
      </c>
      <c r="E333" s="33"/>
    </row>
    <row r="334" spans="1:5" x14ac:dyDescent="0.2">
      <c r="A334" s="13" t="s">
        <v>29</v>
      </c>
      <c r="B334" s="21">
        <v>2473.3682859999999</v>
      </c>
      <c r="C334" s="15">
        <v>2.4584459787923001E-4</v>
      </c>
      <c r="D334" s="15" t="s">
        <v>50</v>
      </c>
      <c r="E334" s="33"/>
    </row>
    <row r="335" spans="1:5" x14ac:dyDescent="0.2">
      <c r="A335" s="13" t="s">
        <v>29</v>
      </c>
      <c r="B335" s="21">
        <v>2679.4823098333336</v>
      </c>
      <c r="C335" s="15">
        <v>2.5791340529637499E-4</v>
      </c>
      <c r="D335" s="15" t="s">
        <v>50</v>
      </c>
      <c r="E335" s="33"/>
    </row>
    <row r="336" spans="1:5" x14ac:dyDescent="0.2">
      <c r="A336" s="13" t="s">
        <v>29</v>
      </c>
      <c r="B336" s="21">
        <v>2679.4823098333336</v>
      </c>
      <c r="C336" s="15">
        <v>2.9963796582796004E-4</v>
      </c>
      <c r="D336" s="15" t="s">
        <v>50</v>
      </c>
      <c r="E336" s="33"/>
    </row>
    <row r="337" spans="1:5" x14ac:dyDescent="0.2">
      <c r="A337" s="13" t="s">
        <v>29</v>
      </c>
      <c r="B337" s="21">
        <v>3091.7103575000001</v>
      </c>
      <c r="C337" s="15">
        <v>2.5546904431710497E-4</v>
      </c>
      <c r="D337" s="15" t="s">
        <v>50</v>
      </c>
      <c r="E337" s="33"/>
    </row>
    <row r="338" spans="1:5" x14ac:dyDescent="0.2">
      <c r="A338" s="13" t="s">
        <v>29</v>
      </c>
      <c r="B338" s="21">
        <v>3091.7103575000001</v>
      </c>
      <c r="C338" s="15">
        <v>3.0690149715879503E-4</v>
      </c>
      <c r="D338" s="15" t="s">
        <v>50</v>
      </c>
      <c r="E338" s="33"/>
    </row>
    <row r="339" spans="1:5" x14ac:dyDescent="0.2">
      <c r="A339" s="13" t="s">
        <v>29</v>
      </c>
      <c r="B339" s="21">
        <v>3503.9384051666666</v>
      </c>
      <c r="C339" s="15">
        <v>2.5415797809275498E-4</v>
      </c>
      <c r="D339" s="15" t="s">
        <v>50</v>
      </c>
      <c r="E339" s="33"/>
    </row>
    <row r="340" spans="1:5" x14ac:dyDescent="0.2">
      <c r="A340" s="13" t="s">
        <v>29</v>
      </c>
      <c r="B340" s="21">
        <v>3503.9384051666666</v>
      </c>
      <c r="C340" s="15">
        <v>2.4598295089116497E-4</v>
      </c>
      <c r="D340" s="15" t="s">
        <v>50</v>
      </c>
      <c r="E340" s="33"/>
    </row>
    <row r="341" spans="1:5" x14ac:dyDescent="0.2">
      <c r="A341" s="13" t="s">
        <v>29</v>
      </c>
      <c r="B341" s="21">
        <v>3916.1664528333331</v>
      </c>
      <c r="C341" s="15">
        <v>2.4280281074718E-4</v>
      </c>
      <c r="D341" s="15" t="s">
        <v>50</v>
      </c>
      <c r="E341" s="33"/>
    </row>
    <row r="342" spans="1:5" x14ac:dyDescent="0.2">
      <c r="A342" s="13" t="s">
        <v>29</v>
      </c>
      <c r="B342" s="21">
        <v>3916.1664528333331</v>
      </c>
      <c r="C342" s="15">
        <v>2.3379924151088001E-4</v>
      </c>
      <c r="D342" s="15" t="s">
        <v>50</v>
      </c>
      <c r="E342" s="33"/>
    </row>
    <row r="343" spans="1:5" x14ac:dyDescent="0.2">
      <c r="A343" s="13" t="s">
        <v>29</v>
      </c>
      <c r="B343" s="21">
        <v>4328.3945004999996</v>
      </c>
      <c r="C343" s="15">
        <v>2.3535862079942501E-4</v>
      </c>
      <c r="D343" s="15" t="s">
        <v>50</v>
      </c>
      <c r="E343" s="33"/>
    </row>
    <row r="344" spans="1:5" x14ac:dyDescent="0.2">
      <c r="A344" s="13" t="s">
        <v>29</v>
      </c>
      <c r="B344" s="21">
        <v>4328.3945004999996</v>
      </c>
      <c r="C344" s="15">
        <v>3.1279014586926E-4</v>
      </c>
      <c r="D344" s="15" t="s">
        <v>50</v>
      </c>
      <c r="E344" s="33"/>
    </row>
    <row r="345" spans="1:5" x14ac:dyDescent="0.2">
      <c r="A345" s="13" t="s">
        <v>29</v>
      </c>
      <c r="B345" s="21">
        <v>4740.6225481666661</v>
      </c>
      <c r="C345" s="15">
        <v>2.3323647105743498E-4</v>
      </c>
      <c r="D345" s="15" t="s">
        <v>50</v>
      </c>
      <c r="E345" s="33"/>
    </row>
    <row r="346" spans="1:5" x14ac:dyDescent="0.2">
      <c r="A346" s="13" t="s">
        <v>29</v>
      </c>
      <c r="B346" s="21">
        <v>4740.6225481666661</v>
      </c>
      <c r="C346" s="15">
        <v>2.3466394767702499E-4</v>
      </c>
      <c r="D346" s="15" t="s">
        <v>50</v>
      </c>
      <c r="E346" s="33"/>
    </row>
    <row r="347" spans="1:5" x14ac:dyDescent="0.2">
      <c r="A347" s="13" t="s">
        <v>29</v>
      </c>
      <c r="B347" s="21">
        <v>5152.8505958333326</v>
      </c>
      <c r="C347" s="15">
        <v>2.2793665233816499E-4</v>
      </c>
      <c r="D347" s="15" t="s">
        <v>50</v>
      </c>
      <c r="E347" s="33"/>
    </row>
    <row r="348" spans="1:5" x14ac:dyDescent="0.2">
      <c r="A348" s="13" t="s">
        <v>29</v>
      </c>
      <c r="B348" s="21">
        <v>5152.8505958333326</v>
      </c>
      <c r="C348" s="15">
        <v>2.5476836514201997E-4</v>
      </c>
      <c r="D348" s="15" t="s">
        <v>50</v>
      </c>
      <c r="E348" s="33"/>
    </row>
    <row r="349" spans="1:5" x14ac:dyDescent="0.2">
      <c r="A349" s="13" t="s">
        <v>29</v>
      </c>
      <c r="B349" s="21">
        <v>0</v>
      </c>
      <c r="C349" s="15">
        <v>0</v>
      </c>
      <c r="D349" s="15" t="s">
        <v>54</v>
      </c>
      <c r="E349" s="33"/>
    </row>
    <row r="350" spans="1:5" x14ac:dyDescent="0.2">
      <c r="A350" s="13" t="s">
        <v>29</v>
      </c>
      <c r="B350" s="21">
        <v>51.528505958333334</v>
      </c>
      <c r="C350" s="15">
        <v>0</v>
      </c>
      <c r="D350" s="15" t="s">
        <v>54</v>
      </c>
      <c r="E350" s="33"/>
    </row>
    <row r="351" spans="1:5" x14ac:dyDescent="0.2">
      <c r="A351" s="13" t="s">
        <v>29</v>
      </c>
      <c r="B351" s="21">
        <v>103.05701191666667</v>
      </c>
      <c r="C351" s="15">
        <v>1.0258639259999998E-8</v>
      </c>
      <c r="D351" s="15" t="s">
        <v>54</v>
      </c>
      <c r="E351" s="33"/>
    </row>
    <row r="352" spans="1:5" x14ac:dyDescent="0.2">
      <c r="A352" s="13" t="s">
        <v>29</v>
      </c>
      <c r="B352" s="21">
        <v>154.58551787499999</v>
      </c>
      <c r="C352" s="15">
        <v>0</v>
      </c>
      <c r="D352" s="15" t="s">
        <v>54</v>
      </c>
      <c r="E352" s="33"/>
    </row>
    <row r="353" spans="1:5" x14ac:dyDescent="0.2">
      <c r="A353" s="13" t="s">
        <v>29</v>
      </c>
      <c r="B353" s="21">
        <v>206.11402383333333</v>
      </c>
      <c r="C353" s="15">
        <v>0</v>
      </c>
      <c r="D353" s="15" t="s">
        <v>54</v>
      </c>
      <c r="E353" s="33"/>
    </row>
    <row r="354" spans="1:5" x14ac:dyDescent="0.2">
      <c r="A354" s="13" t="s">
        <v>29</v>
      </c>
      <c r="B354" s="21">
        <v>309.17103574999999</v>
      </c>
      <c r="C354" s="15">
        <v>1.6208656027899999E-6</v>
      </c>
      <c r="D354" s="15" t="s">
        <v>54</v>
      </c>
      <c r="E354" s="33"/>
    </row>
    <row r="355" spans="1:5" x14ac:dyDescent="0.2">
      <c r="A355" s="13" t="s">
        <v>29</v>
      </c>
      <c r="B355" s="21">
        <v>343.17984968249999</v>
      </c>
      <c r="C355" s="15">
        <v>0</v>
      </c>
      <c r="D355" s="15" t="s">
        <v>54</v>
      </c>
      <c r="E355" s="33"/>
    </row>
    <row r="356" spans="1:5" x14ac:dyDescent="0.2">
      <c r="A356" s="13" t="s">
        <v>29</v>
      </c>
      <c r="B356" s="21">
        <v>412.22804766666667</v>
      </c>
      <c r="C356" s="15">
        <v>4.2470781529149996E-6</v>
      </c>
      <c r="D356" s="15" t="s">
        <v>54</v>
      </c>
      <c r="E356" s="33"/>
    </row>
    <row r="357" spans="1:5" x14ac:dyDescent="0.2">
      <c r="A357" s="13" t="s">
        <v>29</v>
      </c>
      <c r="B357" s="21">
        <v>412.22804766666667</v>
      </c>
      <c r="C357" s="15">
        <v>4.3133856887749994E-6</v>
      </c>
      <c r="D357" s="15" t="s">
        <v>54</v>
      </c>
      <c r="E357" s="33"/>
    </row>
    <row r="358" spans="1:5" x14ac:dyDescent="0.2">
      <c r="A358" s="13" t="s">
        <v>29</v>
      </c>
      <c r="B358" s="21">
        <v>515.28505958333324</v>
      </c>
      <c r="C358" s="15">
        <v>8.9865709903099993E-6</v>
      </c>
      <c r="D358" s="15" t="s">
        <v>54</v>
      </c>
      <c r="E358" s="33"/>
    </row>
    <row r="359" spans="1:5" x14ac:dyDescent="0.2">
      <c r="A359" s="13" t="s">
        <v>29</v>
      </c>
      <c r="B359" s="21">
        <v>515.28505958333324</v>
      </c>
      <c r="C359" s="15">
        <v>1.0484701743629998E-5</v>
      </c>
      <c r="D359" s="15" t="s">
        <v>54</v>
      </c>
      <c r="E359" s="33"/>
    </row>
    <row r="360" spans="1:5" x14ac:dyDescent="0.2">
      <c r="A360" s="13" t="s">
        <v>29</v>
      </c>
      <c r="B360" s="21">
        <v>618.34207149999997</v>
      </c>
      <c r="C360" s="15">
        <v>1.4310806865234999E-5</v>
      </c>
      <c r="D360" s="15" t="s">
        <v>54</v>
      </c>
      <c r="E360" s="33"/>
    </row>
    <row r="361" spans="1:5" x14ac:dyDescent="0.2">
      <c r="A361" s="13" t="s">
        <v>29</v>
      </c>
      <c r="B361" s="21">
        <v>618.34207149999997</v>
      </c>
      <c r="C361" s="15">
        <v>1.6123846838829998E-5</v>
      </c>
      <c r="D361" s="15" t="s">
        <v>54</v>
      </c>
      <c r="E361" s="33"/>
    </row>
    <row r="362" spans="1:5" x14ac:dyDescent="0.2">
      <c r="A362" s="13" t="s">
        <v>29</v>
      </c>
      <c r="B362" s="21">
        <v>721.39908341666671</v>
      </c>
      <c r="C362" s="15">
        <v>2.1563667220894996E-5</v>
      </c>
      <c r="D362" s="15" t="s">
        <v>54</v>
      </c>
      <c r="E362" s="33"/>
    </row>
    <row r="363" spans="1:5" x14ac:dyDescent="0.2">
      <c r="A363" s="13" t="s">
        <v>29</v>
      </c>
      <c r="B363" s="21">
        <v>721.39908341666671</v>
      </c>
      <c r="C363" s="15">
        <v>2.0689313429584995E-5</v>
      </c>
      <c r="D363" s="15" t="s">
        <v>54</v>
      </c>
      <c r="E363" s="33"/>
    </row>
    <row r="364" spans="1:5" x14ac:dyDescent="0.2">
      <c r="A364" s="13" t="s">
        <v>29</v>
      </c>
      <c r="B364" s="21">
        <v>824.45609533333334</v>
      </c>
      <c r="C364" s="15">
        <v>3.5043523706359999E-5</v>
      </c>
      <c r="D364" s="15" t="s">
        <v>54</v>
      </c>
      <c r="E364" s="33"/>
    </row>
    <row r="365" spans="1:5" x14ac:dyDescent="0.2">
      <c r="A365" s="13" t="s">
        <v>29</v>
      </c>
      <c r="B365" s="21">
        <v>824.45609533333334</v>
      </c>
      <c r="C365" s="15">
        <v>3.7158604622904992E-5</v>
      </c>
      <c r="D365" s="15" t="s">
        <v>54</v>
      </c>
      <c r="E365" s="33"/>
    </row>
    <row r="366" spans="1:5" x14ac:dyDescent="0.2">
      <c r="A366" s="13" t="s">
        <v>29</v>
      </c>
      <c r="B366" s="21">
        <v>1030.5701191666665</v>
      </c>
      <c r="C366" s="15">
        <v>5.9182110281079994E-5</v>
      </c>
      <c r="D366" s="15" t="s">
        <v>54</v>
      </c>
      <c r="E366" s="33"/>
    </row>
    <row r="367" spans="1:5" x14ac:dyDescent="0.2">
      <c r="A367" s="13" t="s">
        <v>29</v>
      </c>
      <c r="B367" s="21">
        <v>1030.5701191666665</v>
      </c>
      <c r="C367" s="15">
        <v>5.9014959409734995E-5</v>
      </c>
      <c r="D367" s="15" t="s">
        <v>54</v>
      </c>
      <c r="E367" s="33"/>
    </row>
    <row r="368" spans="1:5" x14ac:dyDescent="0.2">
      <c r="A368" s="13" t="s">
        <v>29</v>
      </c>
      <c r="B368" s="21">
        <v>1236.6841429999999</v>
      </c>
      <c r="C368" s="15">
        <v>9.1486576705309983E-5</v>
      </c>
      <c r="D368" s="15" t="s">
        <v>54</v>
      </c>
      <c r="E368" s="33"/>
    </row>
    <row r="369" spans="1:5" x14ac:dyDescent="0.2">
      <c r="A369" s="13" t="s">
        <v>29</v>
      </c>
      <c r="B369" s="21">
        <v>1236.6841429999999</v>
      </c>
      <c r="C369" s="15">
        <v>7.7127445208274999E-5</v>
      </c>
      <c r="D369" s="15" t="s">
        <v>54</v>
      </c>
      <c r="E369" s="33"/>
    </row>
    <row r="370" spans="1:5" x14ac:dyDescent="0.2">
      <c r="A370" s="13" t="s">
        <v>29</v>
      </c>
      <c r="B370" s="21">
        <v>1442.7981668333334</v>
      </c>
      <c r="C370" s="15">
        <v>1.1206541395753499E-4</v>
      </c>
      <c r="D370" s="15" t="s">
        <v>54</v>
      </c>
      <c r="E370" s="33"/>
    </row>
    <row r="371" spans="1:5" x14ac:dyDescent="0.2">
      <c r="A371" s="13" t="s">
        <v>29</v>
      </c>
      <c r="B371" s="21">
        <v>1442.7981668333334</v>
      </c>
      <c r="C371" s="15">
        <v>1.0702238270131999E-4</v>
      </c>
      <c r="D371" s="15" t="s">
        <v>54</v>
      </c>
      <c r="E371" s="33"/>
    </row>
    <row r="372" spans="1:5" x14ac:dyDescent="0.2">
      <c r="A372" s="13" t="s">
        <v>29</v>
      </c>
      <c r="B372" s="21">
        <v>1648.9121906666667</v>
      </c>
      <c r="C372" s="15">
        <v>1.5725473549029498E-4</v>
      </c>
      <c r="D372" s="15" t="s">
        <v>54</v>
      </c>
      <c r="E372" s="33"/>
    </row>
    <row r="373" spans="1:5" x14ac:dyDescent="0.2">
      <c r="A373" s="13" t="s">
        <v>29</v>
      </c>
      <c r="B373" s="21">
        <v>1648.9121906666667</v>
      </c>
      <c r="C373" s="15">
        <v>1.3065264098685499E-4</v>
      </c>
      <c r="D373" s="15" t="s">
        <v>54</v>
      </c>
      <c r="E373" s="33"/>
    </row>
    <row r="374" spans="1:5" x14ac:dyDescent="0.2">
      <c r="A374" s="13" t="s">
        <v>29</v>
      </c>
      <c r="B374" s="21">
        <v>1855.0262144999999</v>
      </c>
      <c r="C374" s="15">
        <v>1.6963691757493999E-4</v>
      </c>
      <c r="D374" s="15" t="s">
        <v>54</v>
      </c>
      <c r="E374" s="33"/>
    </row>
    <row r="375" spans="1:5" x14ac:dyDescent="0.2">
      <c r="A375" s="13" t="s">
        <v>29</v>
      </c>
      <c r="B375" s="21">
        <v>1855.0262144999999</v>
      </c>
      <c r="C375" s="15">
        <v>2.2778784720101496E-4</v>
      </c>
      <c r="D375" s="15" t="s">
        <v>54</v>
      </c>
      <c r="E375" s="33"/>
    </row>
    <row r="376" spans="1:5" x14ac:dyDescent="0.2">
      <c r="A376" s="13" t="s">
        <v>29</v>
      </c>
      <c r="B376" s="21">
        <v>2061.1402383333329</v>
      </c>
      <c r="C376" s="15">
        <v>1.9783792649603996E-4</v>
      </c>
      <c r="D376" s="15" t="s">
        <v>54</v>
      </c>
      <c r="E376" s="33"/>
    </row>
    <row r="377" spans="1:5" x14ac:dyDescent="0.2">
      <c r="A377" s="13" t="s">
        <v>29</v>
      </c>
      <c r="B377" s="21">
        <v>2061.1402383333329</v>
      </c>
      <c r="C377" s="15">
        <v>1.7205927700171997E-4</v>
      </c>
      <c r="D377" s="15" t="s">
        <v>54</v>
      </c>
      <c r="E377" s="33"/>
    </row>
    <row r="378" spans="1:5" x14ac:dyDescent="0.2">
      <c r="A378" s="13" t="s">
        <v>29</v>
      </c>
      <c r="B378" s="21">
        <v>2267.2542621666666</v>
      </c>
      <c r="C378" s="15">
        <v>2.0429061298941998E-4</v>
      </c>
      <c r="D378" s="15" t="s">
        <v>54</v>
      </c>
      <c r="E378" s="33"/>
    </row>
    <row r="379" spans="1:5" x14ac:dyDescent="0.2">
      <c r="A379" s="13" t="s">
        <v>29</v>
      </c>
      <c r="B379" s="21">
        <v>2267.2542621666666</v>
      </c>
      <c r="C379" s="15">
        <v>2.2191529407424997E-4</v>
      </c>
      <c r="D379" s="15" t="s">
        <v>54</v>
      </c>
      <c r="E379" s="33"/>
    </row>
    <row r="380" spans="1:5" x14ac:dyDescent="0.2">
      <c r="A380" s="13" t="s">
        <v>29</v>
      </c>
      <c r="B380" s="21">
        <v>2473.3682859999999</v>
      </c>
      <c r="C380" s="15">
        <v>2.4334526614571499E-4</v>
      </c>
      <c r="D380" s="15" t="s">
        <v>54</v>
      </c>
      <c r="E380" s="33"/>
    </row>
    <row r="381" spans="1:5" x14ac:dyDescent="0.2">
      <c r="A381" s="13" t="s">
        <v>29</v>
      </c>
      <c r="B381" s="21">
        <v>2473.3682859999999</v>
      </c>
      <c r="C381" s="15">
        <v>2.506151807545E-4</v>
      </c>
      <c r="D381" s="15" t="s">
        <v>54</v>
      </c>
      <c r="E381" s="33"/>
    </row>
    <row r="382" spans="1:5" x14ac:dyDescent="0.2">
      <c r="A382" s="13" t="s">
        <v>29</v>
      </c>
      <c r="B382" s="21">
        <v>2679.4823098333336</v>
      </c>
      <c r="C382" s="15">
        <v>2.9064786796574496E-4</v>
      </c>
      <c r="D382" s="15" t="s">
        <v>54</v>
      </c>
      <c r="E382" s="33"/>
    </row>
    <row r="383" spans="1:5" x14ac:dyDescent="0.2">
      <c r="A383" s="13" t="s">
        <v>29</v>
      </c>
      <c r="B383" s="21">
        <v>2679.4823098333336</v>
      </c>
      <c r="C383" s="15">
        <v>2.8347907225919001E-4</v>
      </c>
      <c r="D383" s="15" t="s">
        <v>54</v>
      </c>
      <c r="E383" s="33"/>
    </row>
    <row r="384" spans="1:5" x14ac:dyDescent="0.2">
      <c r="A384" s="13" t="s">
        <v>29</v>
      </c>
      <c r="B384" s="21">
        <v>3091.7103575000001</v>
      </c>
      <c r="C384" s="15">
        <v>3.4837325117204998E-4</v>
      </c>
      <c r="D384" s="15" t="s">
        <v>54</v>
      </c>
      <c r="E384" s="33"/>
    </row>
    <row r="385" spans="1:5" x14ac:dyDescent="0.2">
      <c r="A385" s="13" t="s">
        <v>29</v>
      </c>
      <c r="B385" s="21">
        <v>3091.7103575000001</v>
      </c>
      <c r="C385" s="15">
        <v>3.4481877869784497E-4</v>
      </c>
      <c r="D385" s="15" t="s">
        <v>54</v>
      </c>
      <c r="E385" s="33"/>
    </row>
    <row r="386" spans="1:5" x14ac:dyDescent="0.2">
      <c r="A386" s="13" t="s">
        <v>29</v>
      </c>
      <c r="B386" s="21">
        <v>3503.9384051666666</v>
      </c>
      <c r="C386" s="15">
        <v>3.7810279794259997E-4</v>
      </c>
      <c r="D386" s="15" t="s">
        <v>54</v>
      </c>
      <c r="E386" s="33"/>
    </row>
    <row r="387" spans="1:5" x14ac:dyDescent="0.2">
      <c r="A387" s="13" t="s">
        <v>29</v>
      </c>
      <c r="B387" s="21">
        <v>3503.9384051666666</v>
      </c>
      <c r="C387" s="15">
        <v>3.7974599974433996E-4</v>
      </c>
      <c r="D387" s="15" t="s">
        <v>54</v>
      </c>
      <c r="E387" s="33"/>
    </row>
    <row r="388" spans="1:5" x14ac:dyDescent="0.2">
      <c r="A388" s="13" t="s">
        <v>29</v>
      </c>
      <c r="B388" s="21">
        <v>3916.1664528333331</v>
      </c>
      <c r="C388" s="15">
        <v>4.0606785846057501E-4</v>
      </c>
      <c r="D388" s="15" t="s">
        <v>54</v>
      </c>
      <c r="E388" s="33"/>
    </row>
    <row r="389" spans="1:5" x14ac:dyDescent="0.2">
      <c r="A389" s="13" t="s">
        <v>29</v>
      </c>
      <c r="B389" s="21">
        <v>3916.1664528333331</v>
      </c>
      <c r="C389" s="15">
        <v>3.9038008265215998E-4</v>
      </c>
      <c r="D389" s="15" t="s">
        <v>54</v>
      </c>
      <c r="E389" s="33"/>
    </row>
    <row r="390" spans="1:5" x14ac:dyDescent="0.2">
      <c r="A390" s="13" t="s">
        <v>29</v>
      </c>
      <c r="B390" s="21">
        <v>4328.3945004999996</v>
      </c>
      <c r="C390" s="15">
        <v>3.8809471618009994E-4</v>
      </c>
      <c r="D390" s="15" t="s">
        <v>54</v>
      </c>
      <c r="E390" s="33"/>
    </row>
    <row r="391" spans="1:5" x14ac:dyDescent="0.2">
      <c r="A391" s="13" t="s">
        <v>29</v>
      </c>
      <c r="B391" s="21">
        <v>4328.3945004999996</v>
      </c>
      <c r="C391" s="15">
        <v>4.5930089141946997E-4</v>
      </c>
      <c r="D391" s="15" t="s">
        <v>54</v>
      </c>
      <c r="E391" s="33"/>
    </row>
    <row r="392" spans="1:5" x14ac:dyDescent="0.2">
      <c r="A392" s="13" t="s">
        <v>29</v>
      </c>
      <c r="B392" s="21">
        <v>4740.6225481666661</v>
      </c>
      <c r="C392" s="15">
        <v>3.9003359959994996E-4</v>
      </c>
      <c r="D392" s="15" t="s">
        <v>54</v>
      </c>
      <c r="E392" s="33"/>
    </row>
    <row r="393" spans="1:5" x14ac:dyDescent="0.2">
      <c r="A393" s="13" t="s">
        <v>29</v>
      </c>
      <c r="B393" s="21">
        <v>4740.6225481666661</v>
      </c>
      <c r="C393" s="15">
        <v>4.1928536910784496E-4</v>
      </c>
      <c r="D393" s="15" t="s">
        <v>54</v>
      </c>
      <c r="E393" s="33"/>
    </row>
    <row r="394" spans="1:5" x14ac:dyDescent="0.2">
      <c r="A394" s="13" t="s">
        <v>29</v>
      </c>
      <c r="B394" s="21">
        <v>5152.8505958333326</v>
      </c>
      <c r="C394" s="15">
        <v>3.6455113098231496E-4</v>
      </c>
      <c r="D394" s="15" t="s">
        <v>54</v>
      </c>
      <c r="E394" s="33"/>
    </row>
    <row r="395" spans="1:5" x14ac:dyDescent="0.2">
      <c r="A395" s="13" t="s">
        <v>29</v>
      </c>
      <c r="B395" s="21">
        <v>5152.8505958333326</v>
      </c>
      <c r="C395" s="15">
        <v>4.01378282784885E-4</v>
      </c>
      <c r="D395" s="15" t="s">
        <v>54</v>
      </c>
      <c r="E395" s="33"/>
    </row>
    <row r="396" spans="1:5" x14ac:dyDescent="0.2">
      <c r="A396" s="13" t="s">
        <v>29</v>
      </c>
      <c r="B396" s="21">
        <v>0</v>
      </c>
      <c r="C396" s="15">
        <v>1.4267768793599999E-6</v>
      </c>
      <c r="D396" s="22" t="s">
        <v>55</v>
      </c>
      <c r="E396" s="33"/>
    </row>
    <row r="397" spans="1:5" x14ac:dyDescent="0.2">
      <c r="A397" s="13" t="s">
        <v>29</v>
      </c>
      <c r="B397" s="21">
        <v>51.528505958333334</v>
      </c>
      <c r="C397" s="15">
        <v>0</v>
      </c>
      <c r="D397" s="22" t="s">
        <v>55</v>
      </c>
      <c r="E397" s="33"/>
    </row>
    <row r="398" spans="1:5" x14ac:dyDescent="0.2">
      <c r="A398" s="13" t="s">
        <v>29</v>
      </c>
      <c r="B398" s="21">
        <v>103.05701191666667</v>
      </c>
      <c r="C398" s="22">
        <v>1.5107049139800001E-6</v>
      </c>
      <c r="D398" s="22" t="s">
        <v>55</v>
      </c>
      <c r="E398" s="33"/>
    </row>
    <row r="399" spans="1:5" x14ac:dyDescent="0.2">
      <c r="A399" s="13" t="s">
        <v>29</v>
      </c>
      <c r="B399" s="21">
        <v>154.58551787499999</v>
      </c>
      <c r="C399" s="22">
        <v>1.53868092552E-6</v>
      </c>
      <c r="D399" s="22" t="s">
        <v>55</v>
      </c>
      <c r="E399" s="33"/>
    </row>
    <row r="400" spans="1:5" x14ac:dyDescent="0.2">
      <c r="A400" s="13" t="s">
        <v>29</v>
      </c>
      <c r="B400" s="21">
        <v>206.11402383333333</v>
      </c>
      <c r="C400" s="22">
        <v>1.2962219649600001E-6</v>
      </c>
      <c r="D400" s="22" t="s">
        <v>55</v>
      </c>
      <c r="E400" s="33"/>
    </row>
    <row r="401" spans="1:5" x14ac:dyDescent="0.2">
      <c r="A401" s="13" t="s">
        <v>29</v>
      </c>
      <c r="B401" s="21">
        <v>309.17103574999999</v>
      </c>
      <c r="C401" s="22">
        <v>1.4174514452399999E-6</v>
      </c>
      <c r="D401" s="22" t="s">
        <v>55</v>
      </c>
      <c r="E401" s="33"/>
    </row>
    <row r="402" spans="1:5" x14ac:dyDescent="0.2">
      <c r="A402" s="13" t="s">
        <v>29</v>
      </c>
      <c r="B402" s="21">
        <v>343.17984968249999</v>
      </c>
      <c r="C402" s="22">
        <v>0</v>
      </c>
      <c r="D402" s="22" t="s">
        <v>55</v>
      </c>
      <c r="E402" s="33"/>
    </row>
    <row r="403" spans="1:5" x14ac:dyDescent="0.2">
      <c r="A403" s="13" t="s">
        <v>29</v>
      </c>
      <c r="B403" s="21">
        <v>412.22804766666667</v>
      </c>
      <c r="C403" s="22">
        <v>1.4081260111199999E-6</v>
      </c>
      <c r="D403" s="22" t="s">
        <v>55</v>
      </c>
      <c r="E403" s="33"/>
    </row>
    <row r="404" spans="1:5" x14ac:dyDescent="0.2">
      <c r="A404" s="13" t="s">
        <v>29</v>
      </c>
      <c r="B404" s="21">
        <v>412.22804766666667</v>
      </c>
      <c r="C404" s="22">
        <v>0</v>
      </c>
      <c r="D404" s="22" t="s">
        <v>55</v>
      </c>
      <c r="E404" s="33"/>
    </row>
    <row r="405" spans="1:5" x14ac:dyDescent="0.2">
      <c r="A405" s="13" t="s">
        <v>29</v>
      </c>
      <c r="B405" s="21">
        <v>515.28505958333324</v>
      </c>
      <c r="C405" s="22">
        <v>1.7438381496E-6</v>
      </c>
      <c r="D405" s="22" t="s">
        <v>55</v>
      </c>
      <c r="E405" s="33"/>
    </row>
    <row r="406" spans="1:5" x14ac:dyDescent="0.2">
      <c r="A406" s="13" t="s">
        <v>29</v>
      </c>
      <c r="B406" s="21">
        <v>515.28505958333324</v>
      </c>
      <c r="C406" s="22">
        <v>0</v>
      </c>
      <c r="D406" s="22" t="s">
        <v>55</v>
      </c>
      <c r="E406" s="33"/>
    </row>
    <row r="407" spans="1:5" x14ac:dyDescent="0.2">
      <c r="A407" s="13" t="s">
        <v>29</v>
      </c>
      <c r="B407" s="21">
        <v>618.34207149999997</v>
      </c>
      <c r="C407" s="22">
        <v>1.62260896014E-6</v>
      </c>
      <c r="D407" s="22" t="s">
        <v>55</v>
      </c>
      <c r="E407" s="33"/>
    </row>
    <row r="408" spans="1:5" x14ac:dyDescent="0.2">
      <c r="A408" s="13" t="s">
        <v>29</v>
      </c>
      <c r="B408" s="21">
        <v>618.34207149999997</v>
      </c>
      <c r="C408" s="22">
        <v>0</v>
      </c>
      <c r="D408" s="22" t="s">
        <v>55</v>
      </c>
      <c r="E408" s="33"/>
    </row>
    <row r="409" spans="1:5" x14ac:dyDescent="0.2">
      <c r="A409" s="13" t="s">
        <v>29</v>
      </c>
      <c r="B409" s="21">
        <v>721.39908341666671</v>
      </c>
      <c r="C409" s="22">
        <v>1.8277661842200001E-6</v>
      </c>
      <c r="D409" s="22" t="s">
        <v>55</v>
      </c>
      <c r="E409" s="33"/>
    </row>
    <row r="410" spans="1:5" x14ac:dyDescent="0.2">
      <c r="A410" s="13" t="s">
        <v>29</v>
      </c>
      <c r="B410" s="21">
        <v>721.39908341666671</v>
      </c>
      <c r="C410" s="22">
        <v>0</v>
      </c>
      <c r="D410" s="22" t="s">
        <v>55</v>
      </c>
      <c r="E410" s="33"/>
    </row>
    <row r="411" spans="1:5" x14ac:dyDescent="0.2">
      <c r="A411" s="13" t="s">
        <v>29</v>
      </c>
      <c r="B411" s="21">
        <v>824.45609533333334</v>
      </c>
      <c r="C411" s="22">
        <v>2.5364919068400003E-6</v>
      </c>
      <c r="D411" s="22" t="s">
        <v>55</v>
      </c>
      <c r="E411" s="33"/>
    </row>
    <row r="412" spans="1:5" x14ac:dyDescent="0.2">
      <c r="A412" s="13" t="s">
        <v>29</v>
      </c>
      <c r="B412" s="21">
        <v>824.45609533333334</v>
      </c>
      <c r="C412" s="22">
        <v>0</v>
      </c>
      <c r="D412" s="22" t="s">
        <v>55</v>
      </c>
      <c r="E412" s="33"/>
    </row>
    <row r="413" spans="1:5" x14ac:dyDescent="0.2">
      <c r="A413" s="13" t="s">
        <v>29</v>
      </c>
      <c r="B413" s="21">
        <v>1030.5701191666665</v>
      </c>
      <c r="C413" s="22">
        <v>3.3664471097399999E-6</v>
      </c>
      <c r="D413" s="22" t="s">
        <v>55</v>
      </c>
      <c r="E413" s="33"/>
    </row>
    <row r="414" spans="1:5" x14ac:dyDescent="0.2">
      <c r="A414" s="13" t="s">
        <v>29</v>
      </c>
      <c r="B414" s="21">
        <v>1030.5701191666665</v>
      </c>
      <c r="C414" s="22">
        <v>0</v>
      </c>
      <c r="D414" s="22" t="s">
        <v>55</v>
      </c>
      <c r="E414" s="33"/>
    </row>
    <row r="415" spans="1:5" x14ac:dyDescent="0.2">
      <c r="A415" s="13" t="s">
        <v>29</v>
      </c>
      <c r="B415" s="21">
        <v>1236.6841429999999</v>
      </c>
      <c r="C415" s="22">
        <v>4.625367919860001E-6</v>
      </c>
      <c r="D415" s="22" t="s">
        <v>55</v>
      </c>
      <c r="E415" s="33"/>
    </row>
    <row r="416" spans="1:5" x14ac:dyDescent="0.2">
      <c r="A416" s="13" t="s">
        <v>29</v>
      </c>
      <c r="B416" s="21">
        <v>1236.6841429999999</v>
      </c>
      <c r="C416" s="22">
        <v>7.4711687082000001E-7</v>
      </c>
      <c r="D416" s="22" t="s">
        <v>55</v>
      </c>
      <c r="E416" s="33"/>
    </row>
    <row r="417" spans="1:5" x14ac:dyDescent="0.2">
      <c r="A417" s="13" t="s">
        <v>29</v>
      </c>
      <c r="B417" s="21">
        <v>1442.7981668333334</v>
      </c>
      <c r="C417" s="22">
        <v>6.2573020233000009E-6</v>
      </c>
      <c r="D417" s="22" t="s">
        <v>55</v>
      </c>
      <c r="E417" s="33"/>
    </row>
    <row r="418" spans="1:5" x14ac:dyDescent="0.2">
      <c r="A418" s="13" t="s">
        <v>29</v>
      </c>
      <c r="B418" s="21">
        <v>1442.7981668333334</v>
      </c>
      <c r="C418" s="22">
        <v>2.6819577442800002E-6</v>
      </c>
      <c r="D418" s="22" t="s">
        <v>55</v>
      </c>
      <c r="E418" s="33"/>
    </row>
    <row r="419" spans="1:5" x14ac:dyDescent="0.2">
      <c r="A419" s="13" t="s">
        <v>29</v>
      </c>
      <c r="B419" s="21">
        <v>1648.9121906666667</v>
      </c>
      <c r="C419" s="22">
        <v>7.4229693646799999E-6</v>
      </c>
      <c r="D419" s="22" t="s">
        <v>55</v>
      </c>
      <c r="E419" s="33"/>
    </row>
    <row r="420" spans="1:5" x14ac:dyDescent="0.2">
      <c r="A420" s="13" t="s">
        <v>29</v>
      </c>
      <c r="B420" s="21">
        <v>1648.9121906666667</v>
      </c>
      <c r="C420" s="22">
        <v>6.9539331237600007E-6</v>
      </c>
      <c r="D420" s="22" t="s">
        <v>55</v>
      </c>
      <c r="E420" s="33"/>
    </row>
    <row r="421" spans="1:5" x14ac:dyDescent="0.2">
      <c r="A421" s="13" t="s">
        <v>29</v>
      </c>
      <c r="B421" s="21">
        <v>1855.0262144999999</v>
      </c>
      <c r="C421" s="22">
        <v>1.0546957513860001E-5</v>
      </c>
      <c r="D421" s="22" t="s">
        <v>55</v>
      </c>
      <c r="E421" s="33"/>
    </row>
    <row r="422" spans="1:5" x14ac:dyDescent="0.2">
      <c r="A422" s="13" t="s">
        <v>29</v>
      </c>
      <c r="B422" s="21">
        <v>1855.0262144999999</v>
      </c>
      <c r="C422" s="22">
        <v>6.0621822770280002E-5</v>
      </c>
      <c r="D422" s="22" t="s">
        <v>55</v>
      </c>
      <c r="E422" s="33"/>
    </row>
    <row r="423" spans="1:5" x14ac:dyDescent="0.2">
      <c r="A423" s="13" t="s">
        <v>29</v>
      </c>
      <c r="B423" s="21">
        <v>2061.1402383333329</v>
      </c>
      <c r="C423" s="22">
        <v>1.611418468278E-5</v>
      </c>
      <c r="D423" s="22" t="s">
        <v>55</v>
      </c>
      <c r="E423" s="33"/>
    </row>
    <row r="424" spans="1:5" x14ac:dyDescent="0.2">
      <c r="A424" s="13" t="s">
        <v>29</v>
      </c>
      <c r="B424" s="21">
        <v>2061.1402383333329</v>
      </c>
      <c r="C424" s="22">
        <v>7.0497173081400003E-6</v>
      </c>
      <c r="D424" s="22" t="s">
        <v>55</v>
      </c>
      <c r="E424" s="33"/>
    </row>
    <row r="425" spans="1:5" x14ac:dyDescent="0.2">
      <c r="A425" s="13" t="s">
        <v>29</v>
      </c>
      <c r="B425" s="21">
        <v>2267.2542621666666</v>
      </c>
      <c r="C425" s="22">
        <v>1.5787797687600001E-5</v>
      </c>
      <c r="D425" s="22" t="s">
        <v>55</v>
      </c>
      <c r="E425" s="33"/>
    </row>
    <row r="426" spans="1:5" x14ac:dyDescent="0.2">
      <c r="A426" s="13" t="s">
        <v>29</v>
      </c>
      <c r="B426" s="21">
        <v>2267.2542621666666</v>
      </c>
      <c r="C426" s="22">
        <v>1.9338830868720003E-5</v>
      </c>
      <c r="D426" s="22" t="s">
        <v>55</v>
      </c>
      <c r="E426" s="33"/>
    </row>
    <row r="427" spans="1:5" x14ac:dyDescent="0.2">
      <c r="A427" s="13" t="s">
        <v>29</v>
      </c>
      <c r="B427" s="21">
        <v>2473.3682859999999</v>
      </c>
      <c r="C427" s="22">
        <v>1.5769147110180002E-5</v>
      </c>
      <c r="D427" s="22" t="s">
        <v>55</v>
      </c>
      <c r="E427" s="33"/>
    </row>
    <row r="428" spans="1:5" x14ac:dyDescent="0.2">
      <c r="A428" s="13" t="s">
        <v>29</v>
      </c>
      <c r="B428" s="21">
        <v>2473.3682859999999</v>
      </c>
      <c r="C428" s="22">
        <v>2.6666322282480002E-5</v>
      </c>
      <c r="D428" s="22" t="s">
        <v>55</v>
      </c>
      <c r="E428" s="33"/>
    </row>
    <row r="429" spans="1:5" x14ac:dyDescent="0.2">
      <c r="A429" s="13" t="s">
        <v>29</v>
      </c>
      <c r="B429" s="21">
        <v>2679.4823098333336</v>
      </c>
      <c r="C429" s="22">
        <v>2.5887139016820002E-5</v>
      </c>
      <c r="D429" s="22" t="s">
        <v>55</v>
      </c>
      <c r="E429" s="33"/>
    </row>
    <row r="430" spans="1:5" x14ac:dyDescent="0.2">
      <c r="A430" s="13" t="s">
        <v>29</v>
      </c>
      <c r="B430" s="21">
        <v>2679.4823098333336</v>
      </c>
      <c r="C430" s="22">
        <v>3.1072395636419998E-5</v>
      </c>
      <c r="D430" s="22" t="s">
        <v>55</v>
      </c>
      <c r="E430" s="33"/>
    </row>
    <row r="431" spans="1:5" x14ac:dyDescent="0.2">
      <c r="A431" s="13" t="s">
        <v>29</v>
      </c>
      <c r="B431" s="21">
        <v>3091.7103575000001</v>
      </c>
      <c r="C431" s="22">
        <v>3.9054516762960002E-5</v>
      </c>
      <c r="D431" s="22" t="s">
        <v>55</v>
      </c>
      <c r="E431" s="33"/>
    </row>
    <row r="432" spans="1:5" x14ac:dyDescent="0.2">
      <c r="A432" s="13" t="s">
        <v>29</v>
      </c>
      <c r="B432" s="21">
        <v>3091.7103575000001</v>
      </c>
      <c r="C432" s="22">
        <v>4.8131562393419998E-5</v>
      </c>
      <c r="D432" s="22" t="s">
        <v>55</v>
      </c>
      <c r="E432" s="33"/>
    </row>
    <row r="433" spans="1:5" x14ac:dyDescent="0.2">
      <c r="A433" s="13" t="s">
        <v>29</v>
      </c>
      <c r="B433" s="21">
        <v>3503.9384051666666</v>
      </c>
      <c r="C433" s="22">
        <v>4.9610799710940001E-5</v>
      </c>
      <c r="D433" s="22" t="s">
        <v>55</v>
      </c>
      <c r="E433" s="33"/>
    </row>
    <row r="434" spans="1:5" x14ac:dyDescent="0.2">
      <c r="A434" s="13" t="s">
        <v>29</v>
      </c>
      <c r="B434" s="21">
        <v>3503.9384051666666</v>
      </c>
      <c r="C434" s="22">
        <v>5.3821144225200005E-5</v>
      </c>
      <c r="D434" s="22" t="s">
        <v>55</v>
      </c>
      <c r="E434" s="33"/>
    </row>
    <row r="435" spans="1:5" x14ac:dyDescent="0.2">
      <c r="A435" s="13" t="s">
        <v>29</v>
      </c>
      <c r="B435" s="21">
        <v>3916.1664528333331</v>
      </c>
      <c r="C435" s="22">
        <v>6.6405734104800005E-5</v>
      </c>
      <c r="D435" s="22" t="s">
        <v>55</v>
      </c>
      <c r="E435" s="33"/>
    </row>
    <row r="436" spans="1:5" x14ac:dyDescent="0.2">
      <c r="A436" s="13" t="s">
        <v>29</v>
      </c>
      <c r="B436" s="21">
        <v>3916.1664528333331</v>
      </c>
      <c r="C436" s="22">
        <v>8.2958698988160011E-5</v>
      </c>
      <c r="D436" s="22" t="s">
        <v>55</v>
      </c>
      <c r="E436" s="33"/>
    </row>
    <row r="437" spans="1:5" x14ac:dyDescent="0.2">
      <c r="A437" s="13" t="s">
        <v>29</v>
      </c>
      <c r="B437" s="21">
        <v>4328.3945004999996</v>
      </c>
      <c r="C437" s="22">
        <v>7.9880847687060006E-5</v>
      </c>
      <c r="D437" s="22" t="s">
        <v>55</v>
      </c>
      <c r="E437" s="33"/>
    </row>
    <row r="438" spans="1:5" x14ac:dyDescent="0.2">
      <c r="A438" s="13" t="s">
        <v>29</v>
      </c>
      <c r="B438" s="21">
        <v>4328.3945004999996</v>
      </c>
      <c r="C438" s="22">
        <v>1.0536262433868E-4</v>
      </c>
      <c r="D438" s="22" t="s">
        <v>55</v>
      </c>
      <c r="E438" s="33"/>
    </row>
    <row r="439" spans="1:5" x14ac:dyDescent="0.2">
      <c r="A439" s="13" t="s">
        <v>29</v>
      </c>
      <c r="B439" s="21">
        <v>4740.6225481666661</v>
      </c>
      <c r="C439" s="22">
        <v>9.6890264739120006E-5</v>
      </c>
      <c r="D439" s="22" t="s">
        <v>55</v>
      </c>
      <c r="E439" s="33"/>
    </row>
    <row r="440" spans="1:5" x14ac:dyDescent="0.2">
      <c r="A440" s="13" t="s">
        <v>29</v>
      </c>
      <c r="B440" s="21">
        <v>4740.6225481666661</v>
      </c>
      <c r="C440" s="22">
        <v>1.163107587363E-4</v>
      </c>
      <c r="D440" s="22" t="s">
        <v>55</v>
      </c>
      <c r="E440" s="33"/>
    </row>
    <row r="441" spans="1:5" x14ac:dyDescent="0.2">
      <c r="A441" s="13" t="s">
        <v>29</v>
      </c>
      <c r="B441" s="21">
        <v>5152.8505958333326</v>
      </c>
      <c r="C441" s="22">
        <v>1.2098693901738002E-4</v>
      </c>
      <c r="D441" s="22" t="s">
        <v>55</v>
      </c>
      <c r="E441" s="33"/>
    </row>
    <row r="442" spans="1:5" x14ac:dyDescent="0.2">
      <c r="A442" s="13" t="s">
        <v>29</v>
      </c>
      <c r="B442" s="21">
        <v>5152.8505958333326</v>
      </c>
      <c r="C442" s="22">
        <v>1.4797701666486001E-4</v>
      </c>
      <c r="D442" s="22" t="s">
        <v>55</v>
      </c>
      <c r="E442"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topLeftCell="G1" workbookViewId="0">
      <selection activeCell="B1" sqref="B1"/>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x14ac:dyDescent="0.2">
      <c r="A1" s="13" t="s">
        <v>71</v>
      </c>
      <c r="B1" s="13" t="s">
        <v>107</v>
      </c>
      <c r="C1" s="13" t="s">
        <v>72</v>
      </c>
      <c r="D1" s="13" t="s">
        <v>73</v>
      </c>
      <c r="E1" s="13" t="s">
        <v>74</v>
      </c>
      <c r="F1" s="13" t="s">
        <v>75</v>
      </c>
      <c r="J1" s="13" t="s">
        <v>76</v>
      </c>
      <c r="K1" s="13"/>
      <c r="L1" s="13" t="s">
        <v>77</v>
      </c>
    </row>
    <row r="2" spans="1:27" x14ac:dyDescent="0.2">
      <c r="A2" s="24" t="s">
        <v>78</v>
      </c>
      <c r="B2" s="25">
        <f>(((1+1.5*(1-$K$7))*C2)/$K$2)*(2+0.644*$K$3^0.5*$K$4^(1/3))</f>
        <v>7.1033855308415078E-2</v>
      </c>
      <c r="C2" s="24">
        <f>D2/100</f>
        <v>2.7044785729339622E-7</v>
      </c>
      <c r="D2" s="24">
        <f t="shared" ref="D2:D12" si="0">(0.0001326)/(($K$5)^1.14*(E2)^0.589)</f>
        <v>2.7044785729339621E-5</v>
      </c>
      <c r="E2" s="24">
        <v>18.63</v>
      </c>
      <c r="F2" s="13"/>
      <c r="J2" s="13" t="s">
        <v>79</v>
      </c>
      <c r="K2" s="18">
        <v>6.9999999999999994E-5</v>
      </c>
      <c r="L2" s="13" t="s">
        <v>80</v>
      </c>
    </row>
    <row r="3" spans="1:27" x14ac:dyDescent="0.2">
      <c r="A3" s="24" t="s">
        <v>81</v>
      </c>
      <c r="B3" s="25">
        <f t="shared" ref="B3:B12" si="1">(((1+1.5*(1-$K$7))*C3)/$K$2)*(2+0.644*$K$3^0.5*$K$4^(1/3))</f>
        <v>7.916175021784172E-2</v>
      </c>
      <c r="C3" s="24">
        <f t="shared" ref="C3:C4" si="2">D3/100</f>
        <v>3.0139326709857025E-7</v>
      </c>
      <c r="D3" s="24">
        <f>(0.0001326)/(($K$5)^1.14*(E3)^0.589)</f>
        <v>3.0139326709857024E-5</v>
      </c>
      <c r="E3" s="26">
        <v>15.5</v>
      </c>
      <c r="F3" s="13"/>
      <c r="J3" s="13" t="s">
        <v>82</v>
      </c>
      <c r="K3" s="13">
        <v>0.93</v>
      </c>
      <c r="L3" s="13" t="s">
        <v>83</v>
      </c>
    </row>
    <row r="4" spans="1:27" x14ac:dyDescent="0.2">
      <c r="A4" s="24" t="s">
        <v>84</v>
      </c>
      <c r="B4" s="25">
        <f>(((1+1.5*(1-$K$7))*C4)/$K$2)*(2+0.644*$K$3^0.5*$K$4^(1/3))</f>
        <v>5.0454639132858581E-2</v>
      </c>
      <c r="C4" s="24">
        <f t="shared" si="2"/>
        <v>1.9209641634608893E-7</v>
      </c>
      <c r="D4" s="24">
        <f t="shared" si="0"/>
        <v>1.9209641634608894E-5</v>
      </c>
      <c r="E4" s="26">
        <v>33.299999999999997</v>
      </c>
      <c r="F4" s="13"/>
      <c r="J4" s="13" t="s">
        <v>85</v>
      </c>
      <c r="K4" s="13">
        <v>1785</v>
      </c>
      <c r="L4" s="13" t="s">
        <v>83</v>
      </c>
    </row>
    <row r="5" spans="1:27" ht="16" x14ac:dyDescent="0.2">
      <c r="A5" s="24" t="s">
        <v>86</v>
      </c>
      <c r="B5" s="25">
        <f t="shared" si="1"/>
        <v>5.1652033094747189E-2</v>
      </c>
      <c r="C5" s="24">
        <f>D5/100</f>
        <v>1.9665526550221043E-7</v>
      </c>
      <c r="D5" s="24">
        <f t="shared" si="0"/>
        <v>1.9665526550221043E-5</v>
      </c>
      <c r="E5" s="26">
        <v>32</v>
      </c>
      <c r="F5" s="13"/>
      <c r="J5" s="13" t="s">
        <v>87</v>
      </c>
      <c r="K5" s="27">
        <v>0.89</v>
      </c>
      <c r="L5" s="13" t="s">
        <v>88</v>
      </c>
    </row>
    <row r="6" spans="1:27" x14ac:dyDescent="0.2">
      <c r="A6" s="26" t="s">
        <v>43</v>
      </c>
      <c r="B6" s="25">
        <f t="shared" si="1"/>
        <v>2.0394609191157882E-2</v>
      </c>
      <c r="C6" s="24">
        <f>D6/100</f>
        <v>7.7648585060417457E-8</v>
      </c>
      <c r="D6" s="24">
        <f t="shared" si="0"/>
        <v>7.764858506041746E-6</v>
      </c>
      <c r="E6" s="24">
        <f>C18</f>
        <v>155</v>
      </c>
      <c r="F6" s="13"/>
      <c r="J6" s="13" t="s">
        <v>89</v>
      </c>
      <c r="K6" s="17">
        <v>1.212920864E-2</v>
      </c>
      <c r="L6" s="13" t="s">
        <v>90</v>
      </c>
    </row>
    <row r="7" spans="1:27" x14ac:dyDescent="0.2">
      <c r="A7" s="26" t="s">
        <v>44</v>
      </c>
      <c r="B7" s="25">
        <f t="shared" si="1"/>
        <v>1.8554049475036211E-2</v>
      </c>
      <c r="C7" s="24">
        <f t="shared" ref="C7:C12" si="3">D7/100</f>
        <v>7.0641004952532216E-8</v>
      </c>
      <c r="D7" s="24">
        <f t="shared" si="0"/>
        <v>7.064100495253221E-6</v>
      </c>
      <c r="E7" s="24">
        <f>C19</f>
        <v>182</v>
      </c>
      <c r="F7" s="13"/>
      <c r="J7" s="13" t="s">
        <v>91</v>
      </c>
      <c r="K7" s="13">
        <v>0.38100000000000001</v>
      </c>
      <c r="L7" s="13" t="s">
        <v>92</v>
      </c>
    </row>
    <row r="8" spans="1:27" x14ac:dyDescent="0.2">
      <c r="A8" s="26" t="s">
        <v>57</v>
      </c>
      <c r="B8" s="25">
        <f t="shared" si="1"/>
        <v>1.8168819206465719E-2</v>
      </c>
      <c r="C8" s="24">
        <f t="shared" si="3"/>
        <v>6.9174314171817876E-8</v>
      </c>
      <c r="D8" s="24">
        <f t="shared" si="0"/>
        <v>6.9174314171817876E-6</v>
      </c>
      <c r="E8" s="28">
        <v>188.6</v>
      </c>
      <c r="F8" s="13"/>
      <c r="J8" s="13" t="s">
        <v>93</v>
      </c>
      <c r="K8" s="13">
        <v>25</v>
      </c>
      <c r="L8" s="13" t="s">
        <v>94</v>
      </c>
    </row>
    <row r="9" spans="1:27" x14ac:dyDescent="0.2">
      <c r="A9" s="26" t="s">
        <v>42</v>
      </c>
      <c r="B9" s="25">
        <f t="shared" si="1"/>
        <v>2.282832704392946E-2</v>
      </c>
      <c r="C9" s="24">
        <f t="shared" si="3"/>
        <v>8.691450165301981E-8</v>
      </c>
      <c r="D9" s="24">
        <f t="shared" si="0"/>
        <v>8.6914501653019809E-6</v>
      </c>
      <c r="E9" s="24">
        <f>C17</f>
        <v>128</v>
      </c>
      <c r="F9" s="13"/>
      <c r="J9" s="17" t="s">
        <v>95</v>
      </c>
      <c r="K9" s="17">
        <v>1</v>
      </c>
      <c r="L9" s="13"/>
    </row>
    <row r="10" spans="1:27" x14ac:dyDescent="0.2">
      <c r="A10" s="26" t="s">
        <v>49</v>
      </c>
      <c r="B10" s="25">
        <f t="shared" si="1"/>
        <v>2.5510302190007245E-2</v>
      </c>
      <c r="C10" s="24">
        <f t="shared" si="3"/>
        <v>9.7125610544992798E-8</v>
      </c>
      <c r="D10" s="24">
        <f t="shared" si="0"/>
        <v>9.7125610544992797E-6</v>
      </c>
      <c r="E10" s="26">
        <v>106</v>
      </c>
      <c r="F10" s="13"/>
      <c r="J10" s="17" t="s">
        <v>96</v>
      </c>
      <c r="K10" s="17">
        <v>1.5</v>
      </c>
      <c r="L10" s="13"/>
      <c r="Y10" s="29"/>
      <c r="Z10" s="29"/>
      <c r="AA10" s="30"/>
    </row>
    <row r="11" spans="1:27" x14ac:dyDescent="0.2">
      <c r="A11" s="26" t="s">
        <v>50</v>
      </c>
      <c r="B11" s="25">
        <f t="shared" si="1"/>
        <v>2.2220612793299517E-2</v>
      </c>
      <c r="C11" s="24">
        <f t="shared" si="3"/>
        <v>8.460074554030521E-8</v>
      </c>
      <c r="D11" s="24">
        <f t="shared" si="0"/>
        <v>8.4600745540305215E-6</v>
      </c>
      <c r="E11" s="26">
        <v>134</v>
      </c>
      <c r="F11" s="13"/>
      <c r="J11" s="17" t="s">
        <v>97</v>
      </c>
      <c r="K11" s="17">
        <v>0.38100000000000001</v>
      </c>
      <c r="L11" s="13"/>
      <c r="Y11" s="31"/>
      <c r="Z11" s="32"/>
      <c r="AA11" s="32"/>
    </row>
    <row r="12" spans="1:27" x14ac:dyDescent="0.2">
      <c r="A12" s="26" t="s">
        <v>98</v>
      </c>
      <c r="B12" s="25">
        <f t="shared" si="1"/>
        <v>1.7815186442197203E-2</v>
      </c>
      <c r="C12" s="24">
        <f t="shared" si="3"/>
        <v>6.7827924862805792E-8</v>
      </c>
      <c r="D12" s="24">
        <f t="shared" si="0"/>
        <v>6.7827924862805785E-6</v>
      </c>
      <c r="E12" s="26">
        <v>195</v>
      </c>
      <c r="F12" s="13"/>
      <c r="J12" s="17" t="s">
        <v>99</v>
      </c>
      <c r="K12" s="17">
        <v>1.05</v>
      </c>
      <c r="L12" s="13"/>
      <c r="Y12" s="31"/>
      <c r="Z12" s="32"/>
      <c r="AA12" s="32"/>
    </row>
    <row r="13" spans="1:27" x14ac:dyDescent="0.2">
      <c r="B13" s="33"/>
      <c r="J13" s="17" t="s">
        <v>100</v>
      </c>
      <c r="K13" s="17">
        <v>1.6962843299999999</v>
      </c>
      <c r="L13" s="13"/>
      <c r="Y13" s="31"/>
      <c r="Z13" s="32"/>
      <c r="AA13" s="32"/>
    </row>
    <row r="14" spans="1:27" x14ac:dyDescent="0.2">
      <c r="Y14" s="31"/>
      <c r="Z14" s="32"/>
      <c r="AA14" s="32"/>
    </row>
    <row r="15" spans="1:27" x14ac:dyDescent="0.2">
      <c r="Y15" s="31"/>
      <c r="Z15" s="32"/>
      <c r="AA15" s="32"/>
    </row>
    <row r="16" spans="1:27" ht="32" x14ac:dyDescent="0.2">
      <c r="A16" s="34" t="s">
        <v>101</v>
      </c>
      <c r="B16" s="34" t="s">
        <v>102</v>
      </c>
      <c r="C16" s="35" t="s">
        <v>103</v>
      </c>
      <c r="Y16" s="31"/>
      <c r="Z16" s="32"/>
      <c r="AA16" s="32"/>
    </row>
    <row r="17" spans="1:27" x14ac:dyDescent="0.2">
      <c r="A17" s="26" t="s">
        <v>42</v>
      </c>
      <c r="B17" s="36">
        <v>214.03899999999999</v>
      </c>
      <c r="C17" s="36">
        <v>128</v>
      </c>
      <c r="Y17" s="31"/>
      <c r="Z17" s="32"/>
      <c r="AA17" s="32"/>
    </row>
    <row r="18" spans="1:27" x14ac:dyDescent="0.2">
      <c r="A18" s="26" t="s">
        <v>43</v>
      </c>
      <c r="B18" s="36">
        <v>264.04700000000003</v>
      </c>
      <c r="C18" s="36">
        <v>155</v>
      </c>
      <c r="Y18" s="31"/>
      <c r="Z18" s="32"/>
      <c r="AA18" s="32"/>
    </row>
    <row r="19" spans="1:27" x14ac:dyDescent="0.2">
      <c r="A19" s="26" t="s">
        <v>44</v>
      </c>
      <c r="B19" s="36">
        <v>313.04700000000003</v>
      </c>
      <c r="C19" s="36">
        <v>182</v>
      </c>
      <c r="Y19" s="31"/>
      <c r="Z19" s="32"/>
      <c r="AA19" s="32"/>
    </row>
    <row r="20" spans="1:27" x14ac:dyDescent="0.2">
      <c r="A20" s="26" t="s">
        <v>45</v>
      </c>
      <c r="B20" s="36">
        <v>364.06200000000001</v>
      </c>
      <c r="C20" s="36">
        <v>210</v>
      </c>
      <c r="Y20" s="31"/>
      <c r="Z20" s="32"/>
      <c r="AA20" s="32"/>
    </row>
    <row r="21" spans="1:27" x14ac:dyDescent="0.2">
      <c r="A21" s="26" t="s">
        <v>46</v>
      </c>
      <c r="B21" s="36">
        <v>414.07</v>
      </c>
      <c r="C21" s="36">
        <v>237</v>
      </c>
      <c r="Y21" s="31"/>
      <c r="Z21" s="32"/>
      <c r="AA21" s="32"/>
    </row>
    <row r="22" spans="1:27" x14ac:dyDescent="0.2">
      <c r="A22" s="26" t="s">
        <v>47</v>
      </c>
      <c r="B22" s="36">
        <v>463.07</v>
      </c>
      <c r="C22" s="36">
        <v>265</v>
      </c>
      <c r="Y22" s="31"/>
      <c r="Z22" s="32"/>
      <c r="AA22" s="32"/>
    </row>
    <row r="23" spans="1:27" x14ac:dyDescent="0.2">
      <c r="A23" s="26" t="s">
        <v>48</v>
      </c>
      <c r="B23" s="36">
        <v>513.07799999999997</v>
      </c>
      <c r="C23" s="36">
        <v>292</v>
      </c>
      <c r="Y23" s="31"/>
      <c r="Z23" s="32"/>
      <c r="AA23" s="32"/>
    </row>
    <row r="24" spans="1:27" x14ac:dyDescent="0.2">
      <c r="A24" s="26" t="s">
        <v>49</v>
      </c>
      <c r="B24" s="36">
        <v>180.03</v>
      </c>
      <c r="C24" s="36">
        <v>106</v>
      </c>
      <c r="Y24" s="31"/>
      <c r="Z24" s="32"/>
      <c r="AA24" s="32"/>
    </row>
    <row r="25" spans="1:27" x14ac:dyDescent="0.2">
      <c r="A25" s="26" t="s">
        <v>50</v>
      </c>
      <c r="B25" s="36">
        <v>230.03800000000001</v>
      </c>
      <c r="C25" s="36">
        <v>134</v>
      </c>
      <c r="Y25" s="31"/>
      <c r="Z25" s="32"/>
      <c r="AA25" s="32"/>
    </row>
    <row r="26" spans="1:27" x14ac:dyDescent="0.2">
      <c r="A26" s="26" t="s">
        <v>104</v>
      </c>
      <c r="B26" s="36">
        <v>330.053</v>
      </c>
      <c r="C26" s="36">
        <v>189</v>
      </c>
      <c r="Y26" s="31"/>
      <c r="Z26" s="32"/>
      <c r="AA26" s="32"/>
    </row>
    <row r="27" spans="1:27" x14ac:dyDescent="0.2">
      <c r="A27" s="26" t="s">
        <v>51</v>
      </c>
      <c r="B27" s="36">
        <v>300.08999999999997</v>
      </c>
      <c r="C27" s="36">
        <v>162</v>
      </c>
      <c r="Y27" s="31"/>
      <c r="Z27" s="32"/>
      <c r="AA27" s="32"/>
    </row>
    <row r="28" spans="1:27" x14ac:dyDescent="0.2">
      <c r="A28" s="26" t="s">
        <v>52</v>
      </c>
      <c r="B28" s="36">
        <v>400.11</v>
      </c>
      <c r="C28" s="36">
        <v>217</v>
      </c>
      <c r="Y28" s="31"/>
      <c r="Z28" s="32"/>
      <c r="AA28" s="32"/>
    </row>
    <row r="29" spans="1:27" x14ac:dyDescent="0.2">
      <c r="A29" s="26" t="s">
        <v>53</v>
      </c>
      <c r="B29" s="36">
        <v>500.13</v>
      </c>
      <c r="C29" s="36">
        <v>272</v>
      </c>
    </row>
    <row r="30" spans="1:27" x14ac:dyDescent="0.2">
      <c r="A30" s="26" t="s">
        <v>54</v>
      </c>
      <c r="B30" s="36">
        <v>327.14</v>
      </c>
      <c r="C30" s="36">
        <v>195</v>
      </c>
    </row>
    <row r="31" spans="1:27" x14ac:dyDescent="0.2">
      <c r="A31" s="26" t="s">
        <v>55</v>
      </c>
      <c r="B31" s="36">
        <v>428.16</v>
      </c>
      <c r="C31" s="36">
        <v>250</v>
      </c>
    </row>
    <row r="32" spans="1:27" x14ac:dyDescent="0.2">
      <c r="A32" s="26" t="s">
        <v>56</v>
      </c>
      <c r="B32" s="36">
        <v>528.17999999999995</v>
      </c>
      <c r="C32" s="36">
        <v>305</v>
      </c>
    </row>
    <row r="33" spans="1:25" x14ac:dyDescent="0.2">
      <c r="A33" s="26" t="s">
        <v>105</v>
      </c>
      <c r="B33" s="36">
        <v>444.12</v>
      </c>
      <c r="C33" s="36">
        <v>240</v>
      </c>
    </row>
    <row r="34" spans="1:25" x14ac:dyDescent="0.2">
      <c r="A34" s="26" t="s">
        <v>106</v>
      </c>
      <c r="B34" s="36">
        <v>464.13</v>
      </c>
      <c r="C34" s="36">
        <v>252</v>
      </c>
    </row>
    <row r="35" spans="1:25" x14ac:dyDescent="0.2">
      <c r="A35" s="37" t="s">
        <v>78</v>
      </c>
      <c r="B35" s="37">
        <v>35.450000000000003</v>
      </c>
      <c r="C35" s="37">
        <v>18.63</v>
      </c>
    </row>
    <row r="36" spans="1:25" x14ac:dyDescent="0.2">
      <c r="A36" s="37" t="s">
        <v>81</v>
      </c>
      <c r="B36" s="37">
        <v>96.06</v>
      </c>
      <c r="C36" s="36">
        <v>15.5</v>
      </c>
    </row>
    <row r="37" spans="1:25" x14ac:dyDescent="0.2">
      <c r="A37" s="37" t="s">
        <v>84</v>
      </c>
      <c r="B37" s="37">
        <v>61.02</v>
      </c>
      <c r="C37" s="36">
        <v>33.299999999999997</v>
      </c>
    </row>
    <row r="38" spans="1:25" x14ac:dyDescent="0.2">
      <c r="A38" s="37" t="s">
        <v>86</v>
      </c>
      <c r="B38" s="37">
        <v>62.01</v>
      </c>
      <c r="C38" s="36">
        <v>32</v>
      </c>
    </row>
    <row r="43" spans="1:25" x14ac:dyDescent="0.2">
      <c r="A43" s="6"/>
      <c r="B43" s="38"/>
      <c r="C43" s="38"/>
      <c r="D43" s="38"/>
      <c r="E43" s="38"/>
      <c r="F43" s="38"/>
      <c r="G43" s="38"/>
      <c r="H43" s="38"/>
      <c r="I43" s="38"/>
      <c r="J43" s="38"/>
      <c r="K43" s="38"/>
      <c r="L43" s="38"/>
      <c r="M43" s="38"/>
      <c r="N43" s="38"/>
      <c r="O43" s="38"/>
      <c r="P43" s="38"/>
      <c r="Q43" s="38"/>
      <c r="R43" s="38"/>
      <c r="S43" s="38"/>
      <c r="T43" s="38"/>
      <c r="U43" s="38"/>
      <c r="V43" s="38"/>
      <c r="W43" s="38"/>
      <c r="X43" s="38"/>
      <c r="Y43" s="38"/>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topLeftCell="A2" zoomScale="69" workbookViewId="0">
      <selection activeCell="B4" sqref="B4"/>
    </sheetView>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3.xml><?xml version="1.0" encoding="utf-8"?>
<ds:datastoreItem xmlns:ds="http://schemas.openxmlformats.org/officeDocument/2006/customXml" ds:itemID="{E301F64B-2E68-42FE-B72F-07064BA5C6EE}">
  <ds:schemaRefs>
    <ds:schemaRef ds:uri="http://schemas.microsoft.com/sharepoint/v3/contenttype/forms"/>
  </ds:schemaRefs>
</ds:datastoreItem>
</file>

<file path=customXml/itemProps4.xml><?xml version="1.0" encoding="utf-8"?>
<ds:datastoreItem xmlns:ds="http://schemas.openxmlformats.org/officeDocument/2006/customXml" ds:itemID="{7BB79E98-5AD2-42D4-8617-624CBCC2A96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2026-05-05T17:05:36Z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